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ZZMKNAS03\DFS1\User\Benutzer\tblauhut\Documents\KI-Projekt\"/>
    </mc:Choice>
  </mc:AlternateContent>
  <xr:revisionPtr revIDLastSave="0" documentId="13_ncr:1_{56F8C542-F190-4EA9-B523-65678C1C278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K I" sheetId="3" r:id="rId1"/>
    <sheet name="IK II" sheetId="4" r:id="rId2"/>
    <sheet name="IK III" sheetId="2" r:id="rId3"/>
    <sheet name="IK IV" sheetId="1" r:id="rId4"/>
    <sheet name="GESAMT" sheetId="6" r:id="rId5"/>
  </sheets>
  <definedNames>
    <definedName name="_xlnm.Print_Area" localSheetId="3">'IK IV'!$A$1:$AV$10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E10" i="4"/>
  <c r="Q10" i="4"/>
  <c r="W10" i="4"/>
  <c r="AB10" i="4"/>
  <c r="AE10" i="4"/>
  <c r="AN10" i="4"/>
  <c r="AT10" i="4"/>
  <c r="V7" i="6"/>
  <c r="V8" i="6"/>
  <c r="V9" i="6"/>
  <c r="V10" i="6"/>
  <c r="V6" i="6"/>
  <c r="AP7" i="6"/>
  <c r="AQ7" i="6"/>
  <c r="AR7" i="6"/>
  <c r="AS7" i="6"/>
  <c r="AP8" i="6"/>
  <c r="AQ8" i="6"/>
  <c r="AR8" i="6"/>
  <c r="AS8" i="6"/>
  <c r="AP9" i="6"/>
  <c r="AQ9" i="6"/>
  <c r="AR9" i="6"/>
  <c r="AS9" i="6"/>
  <c r="AP10" i="6"/>
  <c r="AQ10" i="6"/>
  <c r="AR10" i="6"/>
  <c r="AS10" i="6"/>
  <c r="AO7" i="6"/>
  <c r="AO8" i="6"/>
  <c r="AO9" i="6"/>
  <c r="AO10" i="6"/>
  <c r="AF7" i="6"/>
  <c r="AG7" i="6"/>
  <c r="AH7" i="6"/>
  <c r="AI7" i="6"/>
  <c r="AJ7" i="6"/>
  <c r="AK7" i="6"/>
  <c r="AL7" i="6"/>
  <c r="AM7" i="6"/>
  <c r="AF8" i="6"/>
  <c r="AG8" i="6"/>
  <c r="AH8" i="6"/>
  <c r="AI8" i="6"/>
  <c r="AJ8" i="6"/>
  <c r="AK8" i="6"/>
  <c r="AL8" i="6"/>
  <c r="AM8" i="6"/>
  <c r="AF9" i="6"/>
  <c r="AG9" i="6"/>
  <c r="AH9" i="6"/>
  <c r="AI9" i="6"/>
  <c r="AJ9" i="6"/>
  <c r="AK9" i="6"/>
  <c r="AL9" i="6"/>
  <c r="AM9" i="6"/>
  <c r="AF10" i="6"/>
  <c r="AG10" i="6"/>
  <c r="AH10" i="6"/>
  <c r="AI10" i="6"/>
  <c r="AJ10" i="6"/>
  <c r="AK10" i="6"/>
  <c r="AL10" i="6"/>
  <c r="AM10" i="6"/>
  <c r="AC7" i="6"/>
  <c r="AD7" i="6"/>
  <c r="AC8" i="6"/>
  <c r="AD8" i="6"/>
  <c r="AC9" i="6"/>
  <c r="AD9" i="6"/>
  <c r="AC10" i="6"/>
  <c r="AD10" i="6"/>
  <c r="X7" i="6"/>
  <c r="Y7" i="6"/>
  <c r="Z7" i="6"/>
  <c r="AA7" i="6"/>
  <c r="X8" i="6"/>
  <c r="Y8" i="6"/>
  <c r="Z8" i="6"/>
  <c r="AA8" i="6"/>
  <c r="X9" i="6"/>
  <c r="Y9" i="6"/>
  <c r="Z9" i="6"/>
  <c r="AA9" i="6"/>
  <c r="X10" i="6"/>
  <c r="Y10" i="6"/>
  <c r="Z10" i="6"/>
  <c r="AA10" i="6"/>
  <c r="R7" i="6"/>
  <c r="S7" i="6"/>
  <c r="T7" i="6"/>
  <c r="U7" i="6"/>
  <c r="R8" i="6"/>
  <c r="S8" i="6"/>
  <c r="T8" i="6"/>
  <c r="U8" i="6"/>
  <c r="R9" i="6"/>
  <c r="S9" i="6"/>
  <c r="T9" i="6"/>
  <c r="U9" i="6"/>
  <c r="R10" i="6"/>
  <c r="S10" i="6"/>
  <c r="T10" i="6"/>
  <c r="U10" i="6"/>
  <c r="G7" i="6"/>
  <c r="H7" i="6"/>
  <c r="I7" i="6"/>
  <c r="J7" i="6"/>
  <c r="K7" i="6"/>
  <c r="L7" i="6"/>
  <c r="M7" i="6"/>
  <c r="N7" i="6"/>
  <c r="O7" i="6"/>
  <c r="P7" i="6"/>
  <c r="G8" i="6"/>
  <c r="H8" i="6"/>
  <c r="I8" i="6"/>
  <c r="J8" i="6"/>
  <c r="K8" i="6"/>
  <c r="L8" i="6"/>
  <c r="M8" i="6"/>
  <c r="N8" i="6"/>
  <c r="O8" i="6"/>
  <c r="P8" i="6"/>
  <c r="G9" i="6"/>
  <c r="H9" i="6"/>
  <c r="I9" i="6"/>
  <c r="J9" i="6"/>
  <c r="K9" i="6"/>
  <c r="L9" i="6"/>
  <c r="M9" i="6"/>
  <c r="N9" i="6"/>
  <c r="O9" i="6"/>
  <c r="P9" i="6"/>
  <c r="G10" i="6"/>
  <c r="H10" i="6"/>
  <c r="I10" i="6"/>
  <c r="J10" i="6"/>
  <c r="K10" i="6"/>
  <c r="L10" i="6"/>
  <c r="M10" i="6"/>
  <c r="N10" i="6"/>
  <c r="O10" i="6"/>
  <c r="P10" i="6"/>
  <c r="AS6" i="6"/>
  <c r="AR6" i="6"/>
  <c r="AQ6" i="6"/>
  <c r="AP6" i="6"/>
  <c r="AO6" i="6"/>
  <c r="AM6" i="6"/>
  <c r="AL6" i="6"/>
  <c r="AK6" i="6"/>
  <c r="AJ6" i="6"/>
  <c r="AI6" i="6"/>
  <c r="AH6" i="6"/>
  <c r="AG6" i="6"/>
  <c r="AF6" i="6"/>
  <c r="AD6" i="6"/>
  <c r="AC6" i="6"/>
  <c r="AA6" i="6"/>
  <c r="Z6" i="6"/>
  <c r="Y6" i="6"/>
  <c r="X6" i="6"/>
  <c r="U6" i="6"/>
  <c r="T6" i="6"/>
  <c r="S6" i="6"/>
  <c r="R6" i="6"/>
  <c r="P6" i="6"/>
  <c r="O6" i="6"/>
  <c r="N6" i="6"/>
  <c r="M6" i="6"/>
  <c r="L6" i="6"/>
  <c r="K6" i="6"/>
  <c r="J6" i="6"/>
  <c r="I6" i="6"/>
  <c r="H6" i="6"/>
  <c r="G6" i="6"/>
  <c r="D7" i="6"/>
  <c r="E7" i="6" s="1"/>
  <c r="D8" i="6"/>
  <c r="E8" i="6" s="1"/>
  <c r="D9" i="6"/>
  <c r="E9" i="6" s="1"/>
  <c r="D10" i="6"/>
  <c r="E10" i="6" s="1"/>
  <c r="D6" i="6"/>
  <c r="E6" i="6" s="1"/>
  <c r="B7" i="6"/>
  <c r="C7" i="6" s="1"/>
  <c r="B8" i="6"/>
  <c r="C8" i="6" s="1"/>
  <c r="B9" i="6"/>
  <c r="C9" i="6" s="1"/>
  <c r="B10" i="6"/>
  <c r="C10" i="6" s="1"/>
  <c r="B6" i="6"/>
  <c r="C6" i="6" s="1"/>
  <c r="AT10" i="3"/>
  <c r="AN10" i="3"/>
  <c r="AE10" i="3"/>
  <c r="AB10" i="3"/>
  <c r="W10" i="3"/>
  <c r="Q10" i="3"/>
  <c r="E10" i="3"/>
  <c r="C10" i="3"/>
  <c r="F10" i="3" s="1"/>
  <c r="AT9" i="3"/>
  <c r="AN9" i="3"/>
  <c r="AE9" i="3"/>
  <c r="AB9" i="3"/>
  <c r="W9" i="3"/>
  <c r="Q9" i="3"/>
  <c r="E9" i="3"/>
  <c r="C9" i="3"/>
  <c r="F9" i="3" s="1"/>
  <c r="AT8" i="3"/>
  <c r="AN8" i="3"/>
  <c r="AE8" i="3"/>
  <c r="AB8" i="3"/>
  <c r="W8" i="3"/>
  <c r="Q8" i="3"/>
  <c r="E8" i="3"/>
  <c r="C8" i="3"/>
  <c r="AT7" i="3"/>
  <c r="AN7" i="3"/>
  <c r="AE7" i="3"/>
  <c r="AB7" i="3"/>
  <c r="W7" i="3"/>
  <c r="Q7" i="3"/>
  <c r="E7" i="3"/>
  <c r="C7" i="3"/>
  <c r="AT6" i="3"/>
  <c r="AN6" i="3"/>
  <c r="AE6" i="3"/>
  <c r="AB6" i="3"/>
  <c r="W6" i="3"/>
  <c r="Q6" i="3"/>
  <c r="E6" i="3"/>
  <c r="C6" i="3"/>
  <c r="F6" i="3" s="1"/>
  <c r="F10" i="4" l="1"/>
  <c r="AW10" i="4" s="1"/>
  <c r="F8" i="3"/>
  <c r="W9" i="6"/>
  <c r="AV10" i="3"/>
  <c r="AV6" i="3"/>
  <c r="AV9" i="3"/>
  <c r="AT10" i="6"/>
  <c r="AT7" i="6"/>
  <c r="W7" i="6"/>
  <c r="W10" i="6"/>
  <c r="AB7" i="6"/>
  <c r="AB10" i="6"/>
  <c r="Q7" i="6"/>
  <c r="Q8" i="6"/>
  <c r="AT9" i="6"/>
  <c r="Q6" i="6"/>
  <c r="W8" i="6"/>
  <c r="Q10" i="6"/>
  <c r="Q9" i="6"/>
  <c r="AT8" i="6"/>
  <c r="AB9" i="6"/>
  <c r="AB8" i="6"/>
  <c r="W6" i="6"/>
  <c r="F6" i="6"/>
  <c r="F10" i="6"/>
  <c r="AB6" i="6"/>
  <c r="F8" i="6"/>
  <c r="F9" i="6"/>
  <c r="AT6" i="6"/>
  <c r="F7" i="6"/>
  <c r="F7" i="3"/>
  <c r="AV7" i="3" s="1"/>
  <c r="AV8" i="3"/>
  <c r="AT10" i="2"/>
  <c r="AN10" i="2"/>
  <c r="AB10" i="2"/>
  <c r="W10" i="2"/>
  <c r="Q10" i="2"/>
  <c r="E10" i="2"/>
  <c r="C10" i="2"/>
  <c r="F10" i="2" s="1"/>
  <c r="AT9" i="2"/>
  <c r="AN9" i="2"/>
  <c r="AB9" i="2"/>
  <c r="W9" i="2"/>
  <c r="Q9" i="2"/>
  <c r="E9" i="2"/>
  <c r="C9" i="2"/>
  <c r="F9" i="2" s="1"/>
  <c r="AW9" i="2" s="1"/>
  <c r="AT8" i="2"/>
  <c r="AN8" i="2"/>
  <c r="AB8" i="2"/>
  <c r="W8" i="2"/>
  <c r="Q8" i="2"/>
  <c r="E8" i="2"/>
  <c r="C8" i="2"/>
  <c r="F8" i="2" s="1"/>
  <c r="AT7" i="2"/>
  <c r="AN7" i="2"/>
  <c r="AB7" i="2"/>
  <c r="W7" i="2"/>
  <c r="Q7" i="2"/>
  <c r="E7" i="2"/>
  <c r="C7" i="2"/>
  <c r="F7" i="2" s="1"/>
  <c r="AT6" i="2"/>
  <c r="AN6" i="2"/>
  <c r="AB6" i="2"/>
  <c r="W6" i="2"/>
  <c r="Q6" i="2"/>
  <c r="E6" i="2"/>
  <c r="C6" i="2"/>
  <c r="F6" i="2" s="1"/>
  <c r="AW8" i="2" l="1"/>
  <c r="AW6" i="2"/>
  <c r="AW10" i="2"/>
  <c r="AW7" i="2"/>
  <c r="AT9" i="4"/>
  <c r="AN9" i="4"/>
  <c r="AE9" i="4"/>
  <c r="AB9" i="4"/>
  <c r="W9" i="4"/>
  <c r="Q9" i="4"/>
  <c r="E9" i="4"/>
  <c r="C9" i="4"/>
  <c r="AT8" i="4"/>
  <c r="AN8" i="4"/>
  <c r="AE8" i="4"/>
  <c r="AB8" i="4"/>
  <c r="W8" i="4"/>
  <c r="Q8" i="4"/>
  <c r="E8" i="4"/>
  <c r="C8" i="4"/>
  <c r="AT7" i="4"/>
  <c r="AN7" i="4"/>
  <c r="AE7" i="4"/>
  <c r="AB7" i="4"/>
  <c r="W7" i="4"/>
  <c r="Q7" i="4"/>
  <c r="E7" i="4"/>
  <c r="C7" i="4"/>
  <c r="AT6" i="4"/>
  <c r="AN6" i="4"/>
  <c r="AE6" i="4"/>
  <c r="AB6" i="4"/>
  <c r="W6" i="4"/>
  <c r="Q6" i="4"/>
  <c r="E6" i="4"/>
  <c r="C6" i="4"/>
  <c r="F8" i="4" l="1"/>
  <c r="F7" i="4"/>
  <c r="AW7" i="4" s="1"/>
  <c r="F9" i="4"/>
  <c r="AW9" i="4" s="1"/>
  <c r="F6" i="4"/>
  <c r="AW6" i="4" s="1"/>
  <c r="AW8" i="4"/>
  <c r="AE7" i="1"/>
  <c r="AE7" i="6" s="1"/>
  <c r="AE8" i="1"/>
  <c r="AE8" i="6" s="1"/>
  <c r="AE9" i="1"/>
  <c r="AE9" i="6" s="1"/>
  <c r="AE10" i="1"/>
  <c r="AE10" i="6" s="1"/>
  <c r="AE6" i="1"/>
  <c r="AE6" i="6" s="1"/>
  <c r="E7" i="1"/>
  <c r="E8" i="1"/>
  <c r="E9" i="1"/>
  <c r="E10" i="1"/>
  <c r="C7" i="1"/>
  <c r="C8" i="1"/>
  <c r="C9" i="1"/>
  <c r="C10" i="1"/>
  <c r="E6" i="1"/>
  <c r="C6" i="1"/>
  <c r="F6" i="1" l="1"/>
  <c r="AT7" i="1" l="1"/>
  <c r="AT8" i="1"/>
  <c r="AT9" i="1"/>
  <c r="AT10" i="1"/>
  <c r="AT6" i="1"/>
  <c r="AN7" i="1"/>
  <c r="AN7" i="6" s="1"/>
  <c r="AU7" i="6" s="1"/>
  <c r="AN8" i="1"/>
  <c r="AN8" i="6" s="1"/>
  <c r="AU8" i="6" s="1"/>
  <c r="AN9" i="1"/>
  <c r="AN9" i="6" s="1"/>
  <c r="AU9" i="6" s="1"/>
  <c r="AN10" i="1"/>
  <c r="AN10" i="6" s="1"/>
  <c r="AU10" i="6" s="1"/>
  <c r="AN6" i="1"/>
  <c r="AN6" i="6" s="1"/>
  <c r="AU6" i="6" s="1"/>
  <c r="AB7" i="1"/>
  <c r="AB8" i="1"/>
  <c r="AB9" i="1"/>
  <c r="AB10" i="1"/>
  <c r="AB6" i="1"/>
  <c r="W7" i="1"/>
  <c r="W8" i="1"/>
  <c r="W9" i="1"/>
  <c r="W10" i="1"/>
  <c r="W6" i="1"/>
  <c r="Q7" i="1"/>
  <c r="Q8" i="1"/>
  <c r="Q9" i="1"/>
  <c r="Q10" i="1"/>
  <c r="Q6" i="1"/>
  <c r="F8" i="1" l="1"/>
  <c r="AV8" i="1" s="1"/>
  <c r="F9" i="1"/>
  <c r="AV9" i="1" s="1"/>
  <c r="F10" i="1"/>
  <c r="AV10" i="1" s="1"/>
  <c r="AV6" i="1"/>
  <c r="F7" i="1" l="1"/>
  <c r="AV7" i="1" s="1"/>
</calcChain>
</file>

<file path=xl/sharedStrings.xml><?xml version="1.0" encoding="utf-8"?>
<sst xmlns="http://schemas.openxmlformats.org/spreadsheetml/2006/main" count="499" uniqueCount="59">
  <si>
    <t>Name</t>
  </si>
  <si>
    <t>AIT</t>
  </si>
  <si>
    <t>UPT</t>
  </si>
  <si>
    <t>Anzahl</t>
  </si>
  <si>
    <t>Punkte</t>
  </si>
  <si>
    <t>Klasse I und II</t>
  </si>
  <si>
    <t>Klasse III und IV</t>
  </si>
  <si>
    <t>Klasse V</t>
  </si>
  <si>
    <t>Befund</t>
  </si>
  <si>
    <t>PZR</t>
  </si>
  <si>
    <t>Zahnhartsubstanzlehre/Prävention/Restauration</t>
  </si>
  <si>
    <t>Parodontologie</t>
  </si>
  <si>
    <t>WK</t>
  </si>
  <si>
    <t>WF</t>
  </si>
  <si>
    <t>WF-Revision</t>
  </si>
  <si>
    <t>Endodontologie</t>
  </si>
  <si>
    <t>Befund Kind</t>
  </si>
  <si>
    <t>Prophylaxe Kind</t>
  </si>
  <si>
    <t>Non-invasiv/invasiv Kind</t>
  </si>
  <si>
    <t>Kinderzahnheilkunde</t>
  </si>
  <si>
    <t>Krone</t>
  </si>
  <si>
    <t>Brückenglied</t>
  </si>
  <si>
    <t>Totalprothese</t>
  </si>
  <si>
    <t>Teilprothese Doppelkrone</t>
  </si>
  <si>
    <t>Teleskop</t>
  </si>
  <si>
    <t>MEG</t>
  </si>
  <si>
    <t>Interimsprothese</t>
  </si>
  <si>
    <t>Unterfütterung</t>
  </si>
  <si>
    <t>Remontage</t>
  </si>
  <si>
    <t>Proth. Recall</t>
  </si>
  <si>
    <t>Aufbissbehelf</t>
  </si>
  <si>
    <t>Inlay/Teilkrone</t>
  </si>
  <si>
    <t>Kronenrandfensterung</t>
  </si>
  <si>
    <t>Stiftaufbau</t>
  </si>
  <si>
    <t>Prothetik</t>
  </si>
  <si>
    <t>Festsitzend</t>
  </si>
  <si>
    <t>Herausnehmbar</t>
  </si>
  <si>
    <t>Schnittmenge
ZHS/Restauration/Prothetik</t>
  </si>
  <si>
    <t>Fkt.</t>
  </si>
  <si>
    <t>Hosp. in Kindersprechstunde</t>
  </si>
  <si>
    <t>Gesamt</t>
  </si>
  <si>
    <t>ZHS/Präv./Rest.</t>
  </si>
  <si>
    <t>Schnittmenge</t>
  </si>
  <si>
    <t>Stumpfaufbau(KVB)</t>
  </si>
  <si>
    <t>Hosp. in ZAB (nur IK II und IK III)</t>
  </si>
  <si>
    <t>IK III WiSe2025/26</t>
  </si>
  <si>
    <t>IK III</t>
  </si>
  <si>
    <t>IK IV SoSe26</t>
  </si>
  <si>
    <t>IK IV</t>
  </si>
  <si>
    <t>IK II SoSe2025</t>
  </si>
  <si>
    <t>IK II</t>
  </si>
  <si>
    <t>IK I WiSe2024/2025</t>
  </si>
  <si>
    <t>IK I</t>
  </si>
  <si>
    <t>GESAMT IK I - IK IV</t>
  </si>
  <si>
    <t>Stud. 1</t>
  </si>
  <si>
    <t>Stud. 2</t>
  </si>
  <si>
    <t>Stud. 3</t>
  </si>
  <si>
    <t>Stud. 4</t>
  </si>
  <si>
    <t>Stud.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</si>
</sst>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5" borderId="2" xfId="0" applyFont="1" applyFill="1" applyBorder="1" applyAlignment="1">
      <alignment horizontal="center" textRotation="90"/>
    </xf>
    <xf numFmtId="0" fontId="1" fillId="4" borderId="2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textRotation="90"/>
    </xf>
    <xf numFmtId="0" fontId="2" fillId="0" borderId="1" xfId="0" applyFont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1" fillId="6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textRotation="90"/>
    </xf>
    <xf numFmtId="0" fontId="1" fillId="2" borderId="5" xfId="0" applyFont="1" applyFill="1" applyBorder="1" applyAlignment="1">
      <alignment horizontal="center" textRotation="90"/>
    </xf>
    <xf numFmtId="0" fontId="1" fillId="3" borderId="11" xfId="0" applyFont="1" applyFill="1" applyBorder="1" applyAlignment="1">
      <alignment horizontal="center" textRotation="90"/>
    </xf>
    <xf numFmtId="0" fontId="1" fillId="3" borderId="7" xfId="0" applyFont="1" applyFill="1" applyBorder="1" applyAlignment="1">
      <alignment horizontal="center" textRotation="90"/>
    </xf>
    <xf numFmtId="0" fontId="1" fillId="0" borderId="0" xfId="0" applyFont="1" applyBorder="1"/>
    <xf numFmtId="0" fontId="1" fillId="3" borderId="1" xfId="0" applyFont="1" applyFill="1" applyBorder="1" applyAlignment="1">
      <alignment horizontal="center" textRotation="90"/>
    </xf>
    <xf numFmtId="0" fontId="0" fillId="0" borderId="1" xfId="0" applyFill="1" applyBorder="1" applyAlignment="1">
      <alignment horizontal="right"/>
    </xf>
    <xf numFmtId="0" fontId="1" fillId="7" borderId="1" xfId="0" applyFont="1" applyFill="1" applyBorder="1" applyAlignment="1">
      <alignment horizontal="center" textRotation="90"/>
    </xf>
    <xf numFmtId="0" fontId="1" fillId="7" borderId="1" xfId="0" applyFont="1" applyFill="1" applyBorder="1"/>
    <xf numFmtId="0" fontId="0" fillId="0" borderId="1" xfId="0" applyBorder="1"/>
    <xf numFmtId="0" fontId="1" fillId="0" borderId="1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textRotation="90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1" xfId="0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textRotation="90"/>
    </xf>
    <xf numFmtId="0" fontId="1" fillId="3" borderId="4" xfId="0" applyFont="1" applyFill="1" applyBorder="1" applyAlignment="1">
      <alignment horizontal="center" textRotation="9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textRotation="90"/>
    </xf>
    <xf numFmtId="0" fontId="1" fillId="3" borderId="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9FF"/>
      <color rgb="FFFFFF5D"/>
      <color rgb="FF65D7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1949-FAAC-4BF5-8E07-4C8373B47E7F}">
  <dimension ref="A1:AV1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A10"/>
    </sheetView>
  </sheetViews>
  <sheetFormatPr baseColWidth="10" defaultRowHeight="15" x14ac:dyDescent="0.25"/>
  <cols>
    <col min="1" max="1" width="13.85546875" customWidth="1"/>
  </cols>
  <sheetData>
    <row r="1" spans="1:48" x14ac:dyDescent="0.25">
      <c r="AS1" s="14"/>
      <c r="AT1" s="2"/>
    </row>
    <row r="2" spans="1:48" x14ac:dyDescent="0.25">
      <c r="A2" s="1"/>
      <c r="B2" s="52" t="s">
        <v>11</v>
      </c>
      <c r="C2" s="53"/>
      <c r="D2" s="53"/>
      <c r="E2" s="54"/>
      <c r="F2" s="38"/>
      <c r="G2" s="58" t="s">
        <v>10</v>
      </c>
      <c r="H2" s="59"/>
      <c r="I2" s="59"/>
      <c r="J2" s="59"/>
      <c r="K2" s="59"/>
      <c r="L2" s="59"/>
      <c r="M2" s="59"/>
      <c r="N2" s="59"/>
      <c r="O2" s="59"/>
      <c r="P2" s="60"/>
      <c r="Q2" s="40"/>
      <c r="R2" s="58" t="s">
        <v>15</v>
      </c>
      <c r="S2" s="59"/>
      <c r="T2" s="59"/>
      <c r="U2" s="59"/>
      <c r="V2" s="60"/>
      <c r="W2" s="40"/>
      <c r="X2" s="58" t="s">
        <v>19</v>
      </c>
      <c r="Y2" s="59"/>
      <c r="Z2" s="59"/>
      <c r="AA2" s="60"/>
      <c r="AB2" s="40"/>
      <c r="AC2" s="70" t="s">
        <v>34</v>
      </c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73" t="s">
        <v>37</v>
      </c>
      <c r="AQ2" s="74"/>
      <c r="AR2" s="74"/>
      <c r="AS2" s="75"/>
      <c r="AT2" s="42"/>
      <c r="AU2" s="65"/>
      <c r="AV2" s="1"/>
    </row>
    <row r="3" spans="1:48" x14ac:dyDescent="0.25">
      <c r="A3" s="2"/>
      <c r="B3" s="55"/>
      <c r="C3" s="56"/>
      <c r="D3" s="56"/>
      <c r="E3" s="57"/>
      <c r="F3" s="39"/>
      <c r="G3" s="61"/>
      <c r="H3" s="62"/>
      <c r="I3" s="62"/>
      <c r="J3" s="62"/>
      <c r="K3" s="62"/>
      <c r="L3" s="62"/>
      <c r="M3" s="62"/>
      <c r="N3" s="62"/>
      <c r="O3" s="62"/>
      <c r="P3" s="63"/>
      <c r="Q3" s="41"/>
      <c r="R3" s="61"/>
      <c r="S3" s="62"/>
      <c r="T3" s="62"/>
      <c r="U3" s="62"/>
      <c r="V3" s="63"/>
      <c r="W3" s="41"/>
      <c r="X3" s="61"/>
      <c r="Y3" s="62"/>
      <c r="Z3" s="62"/>
      <c r="AA3" s="63"/>
      <c r="AB3" s="41"/>
      <c r="AC3" s="67" t="s">
        <v>35</v>
      </c>
      <c r="AD3" s="68"/>
      <c r="AE3" s="45"/>
      <c r="AF3" s="67" t="s">
        <v>36</v>
      </c>
      <c r="AG3" s="69"/>
      <c r="AH3" s="69"/>
      <c r="AI3" s="69"/>
      <c r="AJ3" s="69"/>
      <c r="AK3" s="69"/>
      <c r="AL3" s="69"/>
      <c r="AM3" s="68"/>
      <c r="AN3" s="44"/>
      <c r="AO3" s="8" t="s">
        <v>38</v>
      </c>
      <c r="AP3" s="76"/>
      <c r="AQ3" s="77"/>
      <c r="AR3" s="77"/>
      <c r="AS3" s="78"/>
      <c r="AT3" s="43"/>
      <c r="AU3" s="66"/>
      <c r="AV3" s="2"/>
    </row>
    <row r="4" spans="1:48" ht="153" customHeight="1" x14ac:dyDescent="0.25">
      <c r="A4" s="11" t="s">
        <v>51</v>
      </c>
      <c r="B4" s="64" t="s">
        <v>1</v>
      </c>
      <c r="C4" s="64"/>
      <c r="D4" s="64" t="s">
        <v>2</v>
      </c>
      <c r="E4" s="64"/>
      <c r="F4" s="27" t="s">
        <v>11</v>
      </c>
      <c r="G4" s="50" t="s">
        <v>5</v>
      </c>
      <c r="H4" s="51"/>
      <c r="I4" s="50" t="s">
        <v>6</v>
      </c>
      <c r="J4" s="51"/>
      <c r="K4" s="50" t="s">
        <v>7</v>
      </c>
      <c r="L4" s="51"/>
      <c r="M4" s="50" t="s">
        <v>8</v>
      </c>
      <c r="N4" s="51"/>
      <c r="O4" s="50" t="s">
        <v>9</v>
      </c>
      <c r="P4" s="51"/>
      <c r="Q4" s="28" t="s">
        <v>41</v>
      </c>
      <c r="R4" s="50" t="s">
        <v>12</v>
      </c>
      <c r="S4" s="51"/>
      <c r="T4" s="50" t="s">
        <v>13</v>
      </c>
      <c r="U4" s="51"/>
      <c r="V4" s="37" t="s">
        <v>14</v>
      </c>
      <c r="W4" s="28" t="s">
        <v>15</v>
      </c>
      <c r="X4" s="50" t="s">
        <v>16</v>
      </c>
      <c r="Y4" s="51"/>
      <c r="Z4" s="37" t="s">
        <v>17</v>
      </c>
      <c r="AA4" s="37" t="s">
        <v>18</v>
      </c>
      <c r="AB4" s="29" t="s">
        <v>19</v>
      </c>
      <c r="AC4" s="3" t="s">
        <v>20</v>
      </c>
      <c r="AD4" s="3" t="s">
        <v>21</v>
      </c>
      <c r="AE4" s="3" t="s">
        <v>35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36</v>
      </c>
      <c r="AO4" s="3" t="s">
        <v>30</v>
      </c>
      <c r="AP4" s="4" t="s">
        <v>31</v>
      </c>
      <c r="AQ4" s="4" t="s">
        <v>32</v>
      </c>
      <c r="AR4" s="4" t="s">
        <v>43</v>
      </c>
      <c r="AS4" s="4" t="s">
        <v>33</v>
      </c>
      <c r="AT4" s="4" t="s">
        <v>42</v>
      </c>
      <c r="AU4" s="31" t="s">
        <v>39</v>
      </c>
      <c r="AV4" s="12" t="s">
        <v>52</v>
      </c>
    </row>
    <row r="5" spans="1:48" x14ac:dyDescent="0.25">
      <c r="A5" s="5" t="s">
        <v>0</v>
      </c>
      <c r="B5" s="6" t="s">
        <v>3</v>
      </c>
      <c r="C5" s="6" t="s">
        <v>4</v>
      </c>
      <c r="D5" s="6" t="s">
        <v>3</v>
      </c>
      <c r="E5" s="6" t="s">
        <v>4</v>
      </c>
      <c r="F5" s="6" t="s">
        <v>40</v>
      </c>
      <c r="G5" s="7" t="s">
        <v>3</v>
      </c>
      <c r="H5" s="7" t="s">
        <v>4</v>
      </c>
      <c r="I5" s="7" t="s">
        <v>3</v>
      </c>
      <c r="J5" s="7" t="s">
        <v>4</v>
      </c>
      <c r="K5" s="7" t="s">
        <v>3</v>
      </c>
      <c r="L5" s="7" t="s">
        <v>4</v>
      </c>
      <c r="M5" s="7" t="s">
        <v>3</v>
      </c>
      <c r="N5" s="7" t="s">
        <v>4</v>
      </c>
      <c r="O5" s="7" t="s">
        <v>3</v>
      </c>
      <c r="P5" s="7" t="s">
        <v>4</v>
      </c>
      <c r="Q5" s="7" t="s">
        <v>40</v>
      </c>
      <c r="R5" s="7" t="s">
        <v>3</v>
      </c>
      <c r="S5" s="7" t="s">
        <v>4</v>
      </c>
      <c r="T5" s="7" t="s">
        <v>3</v>
      </c>
      <c r="U5" s="7" t="s">
        <v>4</v>
      </c>
      <c r="V5" s="7" t="s">
        <v>4</v>
      </c>
      <c r="W5" s="7" t="s">
        <v>40</v>
      </c>
      <c r="X5" s="7" t="s">
        <v>3</v>
      </c>
      <c r="Y5" s="7" t="s">
        <v>4</v>
      </c>
      <c r="Z5" s="7" t="s">
        <v>4</v>
      </c>
      <c r="AA5" s="7" t="s">
        <v>4</v>
      </c>
      <c r="AB5" s="7" t="s">
        <v>40</v>
      </c>
      <c r="AC5" s="8" t="s">
        <v>4</v>
      </c>
      <c r="AD5" s="8" t="s">
        <v>4</v>
      </c>
      <c r="AE5" s="8" t="s">
        <v>40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40</v>
      </c>
      <c r="AO5" s="8" t="s">
        <v>4</v>
      </c>
      <c r="AP5" s="9" t="s">
        <v>4</v>
      </c>
      <c r="AQ5" s="9" t="s">
        <v>4</v>
      </c>
      <c r="AR5" s="9" t="s">
        <v>4</v>
      </c>
      <c r="AS5" s="9" t="s">
        <v>4</v>
      </c>
      <c r="AT5" s="9" t="s">
        <v>40</v>
      </c>
      <c r="AU5" s="15"/>
      <c r="AV5" s="13" t="s">
        <v>40</v>
      </c>
    </row>
    <row r="6" spans="1:48" x14ac:dyDescent="0.25">
      <c r="A6" s="35" t="s">
        <v>54</v>
      </c>
      <c r="B6" s="16">
        <v>1</v>
      </c>
      <c r="C6" s="17">
        <f>B6*8</f>
        <v>8</v>
      </c>
      <c r="D6" s="13">
        <v>1</v>
      </c>
      <c r="E6" s="13">
        <f>D6*2</f>
        <v>2</v>
      </c>
      <c r="F6" s="38">
        <f>SUM(C6,E6)</f>
        <v>10</v>
      </c>
      <c r="G6" s="17">
        <v>2</v>
      </c>
      <c r="H6" s="17">
        <v>4</v>
      </c>
      <c r="I6" s="13">
        <v>0</v>
      </c>
      <c r="J6" s="13">
        <v>0</v>
      </c>
      <c r="K6" s="17">
        <v>1</v>
      </c>
      <c r="L6" s="17">
        <v>1</v>
      </c>
      <c r="M6" s="13">
        <v>4</v>
      </c>
      <c r="N6" s="13">
        <v>11</v>
      </c>
      <c r="O6" s="17">
        <v>3</v>
      </c>
      <c r="P6" s="17">
        <v>4.5</v>
      </c>
      <c r="Q6" s="40">
        <f>SUM(H6,J6,L6,N6,P6)</f>
        <v>20.5</v>
      </c>
      <c r="R6" s="13">
        <v>2</v>
      </c>
      <c r="S6" s="13">
        <v>6</v>
      </c>
      <c r="T6" s="17">
        <v>2</v>
      </c>
      <c r="U6" s="17">
        <v>4</v>
      </c>
      <c r="V6" s="13">
        <v>0</v>
      </c>
      <c r="W6" s="40">
        <f t="shared" ref="W6:W10" si="0">SUM(S6,U6,V6)</f>
        <v>10</v>
      </c>
      <c r="X6" s="17">
        <v>0</v>
      </c>
      <c r="Y6" s="17">
        <v>0</v>
      </c>
      <c r="Z6" s="13">
        <v>0</v>
      </c>
      <c r="AA6" s="17">
        <v>0</v>
      </c>
      <c r="AB6" s="40">
        <f t="shared" ref="AB6:AB10" si="1">SUM(Y6,Z6,AA6)</f>
        <v>0</v>
      </c>
      <c r="AC6" s="48"/>
      <c r="AD6" s="17"/>
      <c r="AE6" s="45">
        <f>SUM(AC6,AD6)</f>
        <v>0</v>
      </c>
      <c r="AF6" s="13">
        <v>20</v>
      </c>
      <c r="AG6" s="17"/>
      <c r="AH6" s="13"/>
      <c r="AI6" s="17"/>
      <c r="AJ6" s="13"/>
      <c r="AK6" s="17"/>
      <c r="AL6" s="13"/>
      <c r="AM6" s="49">
        <v>5</v>
      </c>
      <c r="AN6" s="44">
        <f>SUM(AF6:AM6)</f>
        <v>25</v>
      </c>
      <c r="AO6" s="44"/>
      <c r="AP6" s="17"/>
      <c r="AQ6" s="13"/>
      <c r="AR6" s="17">
        <v>6</v>
      </c>
      <c r="AS6" s="13"/>
      <c r="AT6" s="42">
        <f>SUM(AP6:AS6)</f>
        <v>6</v>
      </c>
      <c r="AU6" s="13">
        <v>3</v>
      </c>
      <c r="AV6" s="13">
        <f t="shared" ref="AV6:AV10" si="2">SUM(F6,Q6,W6,AB6,AE6,AN6,AO6,AT6)</f>
        <v>71.5</v>
      </c>
    </row>
    <row r="7" spans="1:48" x14ac:dyDescent="0.25">
      <c r="A7" s="35" t="s">
        <v>55</v>
      </c>
      <c r="B7" s="16">
        <v>1</v>
      </c>
      <c r="C7" s="17">
        <f t="shared" ref="C7:C10" si="3">B7*8</f>
        <v>8</v>
      </c>
      <c r="D7" s="13">
        <v>1</v>
      </c>
      <c r="E7" s="13">
        <f t="shared" ref="E7:E10" si="4">D7*2</f>
        <v>2</v>
      </c>
      <c r="F7" s="38">
        <f t="shared" ref="F7:F10" si="5">SUM(C7,E7)</f>
        <v>10</v>
      </c>
      <c r="G7" s="17">
        <v>2</v>
      </c>
      <c r="H7" s="17">
        <v>3</v>
      </c>
      <c r="I7" s="13">
        <v>2</v>
      </c>
      <c r="J7" s="13">
        <v>4</v>
      </c>
      <c r="K7" s="17">
        <v>0</v>
      </c>
      <c r="L7" s="17">
        <v>0</v>
      </c>
      <c r="M7" s="13">
        <v>2</v>
      </c>
      <c r="N7" s="13">
        <v>5</v>
      </c>
      <c r="O7" s="17">
        <v>2</v>
      </c>
      <c r="P7" s="17">
        <v>3</v>
      </c>
      <c r="Q7" s="40">
        <f t="shared" ref="Q7:Q10" si="6">SUM(H7,J7,L7,N7,P7)</f>
        <v>15</v>
      </c>
      <c r="R7" s="13">
        <v>0</v>
      </c>
      <c r="S7" s="13">
        <v>0</v>
      </c>
      <c r="T7" s="17">
        <v>0</v>
      </c>
      <c r="U7" s="17">
        <v>0</v>
      </c>
      <c r="V7" s="13">
        <v>0</v>
      </c>
      <c r="W7" s="40">
        <f t="shared" si="0"/>
        <v>0</v>
      </c>
      <c r="X7" s="17">
        <v>0</v>
      </c>
      <c r="Y7" s="17">
        <v>0</v>
      </c>
      <c r="Z7" s="13">
        <v>0</v>
      </c>
      <c r="AA7" s="17">
        <v>0</v>
      </c>
      <c r="AB7" s="40">
        <f t="shared" si="1"/>
        <v>0</v>
      </c>
      <c r="AC7" s="48">
        <v>30</v>
      </c>
      <c r="AD7" s="17"/>
      <c r="AE7" s="45">
        <f t="shared" ref="AE7:AE10" si="7">SUM(AC7,AD7)</f>
        <v>30</v>
      </c>
      <c r="AF7" s="13"/>
      <c r="AG7" s="17"/>
      <c r="AH7" s="13"/>
      <c r="AI7" s="17"/>
      <c r="AJ7" s="13"/>
      <c r="AK7" s="17"/>
      <c r="AL7" s="13"/>
      <c r="AM7" s="49">
        <v>5</v>
      </c>
      <c r="AN7" s="44">
        <f t="shared" ref="AN7:AN10" si="8">SUM(AF7:AM7)</f>
        <v>5</v>
      </c>
      <c r="AO7" s="44"/>
      <c r="AP7" s="17"/>
      <c r="AQ7" s="13"/>
      <c r="AR7" s="17">
        <v>6</v>
      </c>
      <c r="AS7" s="13"/>
      <c r="AT7" s="42">
        <f t="shared" ref="AT7:AT10" si="9">SUM(AP7:AS7)</f>
        <v>6</v>
      </c>
      <c r="AU7" s="13">
        <v>4</v>
      </c>
      <c r="AV7" s="13">
        <f t="shared" si="2"/>
        <v>66</v>
      </c>
    </row>
    <row r="8" spans="1:48" x14ac:dyDescent="0.25">
      <c r="A8" s="35" t="s">
        <v>56</v>
      </c>
      <c r="B8" s="16">
        <v>0</v>
      </c>
      <c r="C8" s="17">
        <f t="shared" si="3"/>
        <v>0</v>
      </c>
      <c r="D8" s="13">
        <v>3</v>
      </c>
      <c r="E8" s="13">
        <f t="shared" si="4"/>
        <v>6</v>
      </c>
      <c r="F8" s="38">
        <f t="shared" si="5"/>
        <v>6</v>
      </c>
      <c r="G8" s="17">
        <v>4</v>
      </c>
      <c r="H8" s="17">
        <v>4</v>
      </c>
      <c r="I8" s="13">
        <v>0</v>
      </c>
      <c r="J8" s="13">
        <v>0</v>
      </c>
      <c r="K8" s="17">
        <v>1</v>
      </c>
      <c r="L8" s="17">
        <v>1</v>
      </c>
      <c r="M8" s="13">
        <v>4</v>
      </c>
      <c r="N8" s="13">
        <v>10</v>
      </c>
      <c r="O8" s="17">
        <v>5</v>
      </c>
      <c r="P8" s="17">
        <v>7.5</v>
      </c>
      <c r="Q8" s="40">
        <f t="shared" si="6"/>
        <v>22.5</v>
      </c>
      <c r="R8" s="13">
        <v>0</v>
      </c>
      <c r="S8" s="13">
        <v>0</v>
      </c>
      <c r="T8" s="17">
        <v>0</v>
      </c>
      <c r="U8" s="17">
        <v>0</v>
      </c>
      <c r="V8" s="13">
        <v>0</v>
      </c>
      <c r="W8" s="40">
        <f t="shared" si="0"/>
        <v>0</v>
      </c>
      <c r="X8" s="17">
        <v>0</v>
      </c>
      <c r="Y8" s="17">
        <v>0</v>
      </c>
      <c r="Z8" s="13">
        <v>0</v>
      </c>
      <c r="AA8" s="17">
        <v>0</v>
      </c>
      <c r="AB8" s="40">
        <f t="shared" si="1"/>
        <v>0</v>
      </c>
      <c r="AC8" s="48">
        <v>45</v>
      </c>
      <c r="AD8" s="17"/>
      <c r="AE8" s="45">
        <f t="shared" si="7"/>
        <v>45</v>
      </c>
      <c r="AF8" s="13"/>
      <c r="AG8" s="17"/>
      <c r="AH8" s="13"/>
      <c r="AI8" s="17"/>
      <c r="AJ8" s="13">
        <v>10</v>
      </c>
      <c r="AK8" s="17"/>
      <c r="AL8" s="13"/>
      <c r="AM8" s="49">
        <v>5</v>
      </c>
      <c r="AN8" s="44">
        <f t="shared" si="8"/>
        <v>15</v>
      </c>
      <c r="AO8" s="44"/>
      <c r="AP8" s="17"/>
      <c r="AQ8" s="13"/>
      <c r="AR8" s="17"/>
      <c r="AS8" s="13"/>
      <c r="AT8" s="42">
        <f t="shared" si="9"/>
        <v>0</v>
      </c>
      <c r="AU8" s="13">
        <v>2</v>
      </c>
      <c r="AV8" s="13">
        <f t="shared" si="2"/>
        <v>88.5</v>
      </c>
    </row>
    <row r="9" spans="1:48" x14ac:dyDescent="0.25">
      <c r="A9" s="35" t="s">
        <v>57</v>
      </c>
      <c r="B9" s="16">
        <v>1</v>
      </c>
      <c r="C9" s="17">
        <f t="shared" si="3"/>
        <v>8</v>
      </c>
      <c r="D9" s="13">
        <v>3</v>
      </c>
      <c r="E9" s="13">
        <f t="shared" si="4"/>
        <v>6</v>
      </c>
      <c r="F9" s="38">
        <f t="shared" si="5"/>
        <v>14</v>
      </c>
      <c r="G9" s="17">
        <v>5</v>
      </c>
      <c r="H9" s="17">
        <v>8</v>
      </c>
      <c r="I9" s="13">
        <v>1</v>
      </c>
      <c r="J9" s="13">
        <v>2</v>
      </c>
      <c r="K9" s="17">
        <v>0</v>
      </c>
      <c r="L9" s="17">
        <v>0</v>
      </c>
      <c r="M9" s="13">
        <v>4</v>
      </c>
      <c r="N9" s="13">
        <v>9</v>
      </c>
      <c r="O9" s="17">
        <v>4</v>
      </c>
      <c r="P9" s="17">
        <v>6</v>
      </c>
      <c r="Q9" s="40">
        <f t="shared" si="6"/>
        <v>25</v>
      </c>
      <c r="R9" s="13">
        <v>0</v>
      </c>
      <c r="S9" s="13">
        <v>0</v>
      </c>
      <c r="T9" s="17">
        <v>0</v>
      </c>
      <c r="U9" s="17">
        <v>0</v>
      </c>
      <c r="V9" s="13">
        <v>0</v>
      </c>
      <c r="W9" s="40">
        <f t="shared" si="0"/>
        <v>0</v>
      </c>
      <c r="X9" s="17">
        <v>0</v>
      </c>
      <c r="Y9" s="17">
        <v>0</v>
      </c>
      <c r="Z9" s="13">
        <v>0</v>
      </c>
      <c r="AA9" s="17">
        <v>0</v>
      </c>
      <c r="AB9" s="40">
        <f t="shared" si="1"/>
        <v>0</v>
      </c>
      <c r="AC9" s="48"/>
      <c r="AD9" s="17"/>
      <c r="AE9" s="45">
        <f t="shared" si="7"/>
        <v>0</v>
      </c>
      <c r="AF9" s="13"/>
      <c r="AG9" s="17"/>
      <c r="AH9" s="13"/>
      <c r="AI9" s="17">
        <v>15</v>
      </c>
      <c r="AJ9" s="13"/>
      <c r="AK9" s="17"/>
      <c r="AL9" s="13"/>
      <c r="AM9" s="49">
        <v>5</v>
      </c>
      <c r="AN9" s="44">
        <f t="shared" si="8"/>
        <v>20</v>
      </c>
      <c r="AO9" s="44"/>
      <c r="AP9" s="17"/>
      <c r="AQ9" s="13"/>
      <c r="AR9" s="17"/>
      <c r="AS9" s="13"/>
      <c r="AT9" s="42">
        <f t="shared" si="9"/>
        <v>0</v>
      </c>
      <c r="AU9" s="13">
        <v>2</v>
      </c>
      <c r="AV9" s="13">
        <f t="shared" si="2"/>
        <v>59</v>
      </c>
    </row>
    <row r="10" spans="1:48" x14ac:dyDescent="0.25">
      <c r="A10" s="35" t="s">
        <v>58</v>
      </c>
      <c r="B10" s="16">
        <v>1</v>
      </c>
      <c r="C10" s="17">
        <f t="shared" si="3"/>
        <v>8</v>
      </c>
      <c r="D10" s="13">
        <v>2</v>
      </c>
      <c r="E10" s="13">
        <f t="shared" si="4"/>
        <v>4</v>
      </c>
      <c r="F10" s="38">
        <f t="shared" si="5"/>
        <v>12</v>
      </c>
      <c r="G10" s="17">
        <v>3</v>
      </c>
      <c r="H10" s="17">
        <v>6</v>
      </c>
      <c r="I10" s="13">
        <v>0</v>
      </c>
      <c r="J10" s="13">
        <v>0</v>
      </c>
      <c r="K10" s="17">
        <v>0</v>
      </c>
      <c r="L10" s="17">
        <v>0</v>
      </c>
      <c r="M10" s="13">
        <v>5</v>
      </c>
      <c r="N10" s="13">
        <v>13</v>
      </c>
      <c r="O10" s="17">
        <v>4</v>
      </c>
      <c r="P10" s="17">
        <v>6</v>
      </c>
      <c r="Q10" s="40">
        <f t="shared" si="6"/>
        <v>25</v>
      </c>
      <c r="R10" s="13">
        <v>0</v>
      </c>
      <c r="S10" s="13">
        <v>0</v>
      </c>
      <c r="T10" s="17">
        <v>0</v>
      </c>
      <c r="U10" s="17">
        <v>0</v>
      </c>
      <c r="V10" s="13">
        <v>0</v>
      </c>
      <c r="W10" s="40">
        <f t="shared" si="0"/>
        <v>0</v>
      </c>
      <c r="X10" s="17">
        <v>0</v>
      </c>
      <c r="Y10" s="17">
        <v>0</v>
      </c>
      <c r="Z10" s="13">
        <v>0</v>
      </c>
      <c r="AA10" s="17">
        <v>0</v>
      </c>
      <c r="AB10" s="40">
        <f t="shared" si="1"/>
        <v>0</v>
      </c>
      <c r="AC10" s="48"/>
      <c r="AD10" s="17"/>
      <c r="AE10" s="45">
        <f t="shared" si="7"/>
        <v>0</v>
      </c>
      <c r="AF10" s="13">
        <v>20</v>
      </c>
      <c r="AG10" s="17"/>
      <c r="AH10" s="13"/>
      <c r="AI10" s="17"/>
      <c r="AJ10" s="13"/>
      <c r="AK10" s="17"/>
      <c r="AL10" s="13"/>
      <c r="AM10" s="49">
        <v>5</v>
      </c>
      <c r="AN10" s="44">
        <f t="shared" si="8"/>
        <v>25</v>
      </c>
      <c r="AO10" s="44"/>
      <c r="AP10" s="17"/>
      <c r="AQ10" s="13"/>
      <c r="AR10" s="17"/>
      <c r="AS10" s="13"/>
      <c r="AT10" s="42">
        <f t="shared" si="9"/>
        <v>0</v>
      </c>
      <c r="AU10" s="13">
        <v>2</v>
      </c>
      <c r="AV10" s="13">
        <f t="shared" si="2"/>
        <v>62</v>
      </c>
    </row>
  </sheetData>
  <mergeCells count="19">
    <mergeCell ref="X4:Y4"/>
    <mergeCell ref="AU2:AU3"/>
    <mergeCell ref="AC3:AD3"/>
    <mergeCell ref="AF3:AM3"/>
    <mergeCell ref="X2:AA3"/>
    <mergeCell ref="AC2:AO2"/>
    <mergeCell ref="AP2:AS3"/>
    <mergeCell ref="M4:N4"/>
    <mergeCell ref="O4:P4"/>
    <mergeCell ref="B2:E3"/>
    <mergeCell ref="G2:P3"/>
    <mergeCell ref="R2:V3"/>
    <mergeCell ref="B4:C4"/>
    <mergeCell ref="D4:E4"/>
    <mergeCell ref="G4:H4"/>
    <mergeCell ref="I4:J4"/>
    <mergeCell ref="K4:L4"/>
    <mergeCell ref="R4:S4"/>
    <mergeCell ref="T4:U4"/>
  </mergeCells>
  <conditionalFormatting sqref="AU6:AU10">
    <cfRule type="cellIs" dxfId="30" priority="1" operator="lessThan">
      <formula>1</formula>
    </cfRule>
  </conditionalFormatting>
  <conditionalFormatting sqref="AV6:AV10">
    <cfRule type="cellIs" dxfId="29" priority="2" operator="lessThan">
      <formula>55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33D1-7143-492B-9D8D-6524AF03E61B}">
  <dimension ref="A1:BA1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A10"/>
    </sheetView>
  </sheetViews>
  <sheetFormatPr baseColWidth="10" defaultRowHeight="15" x14ac:dyDescent="0.25"/>
  <cols>
    <col min="1" max="1" width="13.85546875" customWidth="1"/>
  </cols>
  <sheetData>
    <row r="1" spans="1:53" x14ac:dyDescent="0.25">
      <c r="AS1" s="14"/>
      <c r="AT1" s="2"/>
    </row>
    <row r="2" spans="1:53" x14ac:dyDescent="0.25">
      <c r="A2" s="1"/>
      <c r="B2" s="52" t="s">
        <v>11</v>
      </c>
      <c r="C2" s="53"/>
      <c r="D2" s="53"/>
      <c r="E2" s="54"/>
      <c r="F2" s="38"/>
      <c r="G2" s="58" t="s">
        <v>10</v>
      </c>
      <c r="H2" s="59"/>
      <c r="I2" s="59"/>
      <c r="J2" s="59"/>
      <c r="K2" s="59"/>
      <c r="L2" s="59"/>
      <c r="M2" s="59"/>
      <c r="N2" s="59"/>
      <c r="O2" s="59"/>
      <c r="P2" s="60"/>
      <c r="Q2" s="40"/>
      <c r="R2" s="58" t="s">
        <v>15</v>
      </c>
      <c r="S2" s="59"/>
      <c r="T2" s="59"/>
      <c r="U2" s="59"/>
      <c r="V2" s="60"/>
      <c r="W2" s="40"/>
      <c r="X2" s="58" t="s">
        <v>19</v>
      </c>
      <c r="Y2" s="59"/>
      <c r="Z2" s="59"/>
      <c r="AA2" s="60"/>
      <c r="AB2" s="40"/>
      <c r="AC2" s="70" t="s">
        <v>34</v>
      </c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73" t="s">
        <v>37</v>
      </c>
      <c r="AQ2" s="74"/>
      <c r="AR2" s="74"/>
      <c r="AS2" s="75"/>
      <c r="AT2" s="42"/>
      <c r="AU2" s="65"/>
      <c r="AV2" s="46"/>
      <c r="AW2" s="1"/>
      <c r="AX2" s="1"/>
      <c r="AY2" s="1"/>
      <c r="AZ2" s="1"/>
      <c r="BA2" s="1"/>
    </row>
    <row r="3" spans="1:53" x14ac:dyDescent="0.25">
      <c r="A3" s="2"/>
      <c r="B3" s="55"/>
      <c r="C3" s="56"/>
      <c r="D3" s="56"/>
      <c r="E3" s="57"/>
      <c r="F3" s="39"/>
      <c r="G3" s="61"/>
      <c r="H3" s="62"/>
      <c r="I3" s="62"/>
      <c r="J3" s="62"/>
      <c r="K3" s="62"/>
      <c r="L3" s="62"/>
      <c r="M3" s="62"/>
      <c r="N3" s="62"/>
      <c r="O3" s="62"/>
      <c r="P3" s="63"/>
      <c r="Q3" s="41"/>
      <c r="R3" s="61"/>
      <c r="S3" s="62"/>
      <c r="T3" s="62"/>
      <c r="U3" s="62"/>
      <c r="V3" s="63"/>
      <c r="W3" s="41"/>
      <c r="X3" s="61"/>
      <c r="Y3" s="62"/>
      <c r="Z3" s="62"/>
      <c r="AA3" s="63"/>
      <c r="AB3" s="41"/>
      <c r="AC3" s="67" t="s">
        <v>35</v>
      </c>
      <c r="AD3" s="68"/>
      <c r="AE3" s="45"/>
      <c r="AF3" s="67" t="s">
        <v>36</v>
      </c>
      <c r="AG3" s="69"/>
      <c r="AH3" s="69"/>
      <c r="AI3" s="69"/>
      <c r="AJ3" s="69"/>
      <c r="AK3" s="69"/>
      <c r="AL3" s="69"/>
      <c r="AM3" s="68"/>
      <c r="AN3" s="44"/>
      <c r="AO3" s="8" t="s">
        <v>38</v>
      </c>
      <c r="AP3" s="76"/>
      <c r="AQ3" s="77"/>
      <c r="AR3" s="77"/>
      <c r="AS3" s="78"/>
      <c r="AT3" s="43"/>
      <c r="AU3" s="66"/>
      <c r="AV3" s="46"/>
      <c r="AW3" s="2"/>
      <c r="AX3" s="2"/>
      <c r="AY3" s="2"/>
      <c r="AZ3" s="2"/>
      <c r="BA3" s="2"/>
    </row>
    <row r="4" spans="1:53" ht="153" x14ac:dyDescent="0.25">
      <c r="A4" s="11" t="s">
        <v>49</v>
      </c>
      <c r="B4" s="64" t="s">
        <v>1</v>
      </c>
      <c r="C4" s="64"/>
      <c r="D4" s="64" t="s">
        <v>2</v>
      </c>
      <c r="E4" s="64"/>
      <c r="F4" s="27" t="s">
        <v>11</v>
      </c>
      <c r="G4" s="50" t="s">
        <v>5</v>
      </c>
      <c r="H4" s="51"/>
      <c r="I4" s="50" t="s">
        <v>6</v>
      </c>
      <c r="J4" s="51"/>
      <c r="K4" s="50" t="s">
        <v>7</v>
      </c>
      <c r="L4" s="51"/>
      <c r="M4" s="50" t="s">
        <v>8</v>
      </c>
      <c r="N4" s="51"/>
      <c r="O4" s="50" t="s">
        <v>9</v>
      </c>
      <c r="P4" s="51"/>
      <c r="Q4" s="28" t="s">
        <v>41</v>
      </c>
      <c r="R4" s="50" t="s">
        <v>12</v>
      </c>
      <c r="S4" s="51"/>
      <c r="T4" s="50" t="s">
        <v>13</v>
      </c>
      <c r="U4" s="51"/>
      <c r="V4" s="37" t="s">
        <v>14</v>
      </c>
      <c r="W4" s="28" t="s">
        <v>15</v>
      </c>
      <c r="X4" s="50" t="s">
        <v>16</v>
      </c>
      <c r="Y4" s="51"/>
      <c r="Z4" s="37" t="s">
        <v>17</v>
      </c>
      <c r="AA4" s="37" t="s">
        <v>18</v>
      </c>
      <c r="AB4" s="29" t="s">
        <v>19</v>
      </c>
      <c r="AC4" s="3" t="s">
        <v>20</v>
      </c>
      <c r="AD4" s="3" t="s">
        <v>21</v>
      </c>
      <c r="AE4" s="3" t="s">
        <v>35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36</v>
      </c>
      <c r="AO4" s="3" t="s">
        <v>30</v>
      </c>
      <c r="AP4" s="4" t="s">
        <v>31</v>
      </c>
      <c r="AQ4" s="4" t="s">
        <v>32</v>
      </c>
      <c r="AR4" s="4" t="s">
        <v>43</v>
      </c>
      <c r="AS4" s="4" t="s">
        <v>33</v>
      </c>
      <c r="AT4" s="4" t="s">
        <v>42</v>
      </c>
      <c r="AU4" s="31" t="s">
        <v>39</v>
      </c>
      <c r="AV4" s="33" t="s">
        <v>44</v>
      </c>
      <c r="AW4" s="12" t="s">
        <v>50</v>
      </c>
      <c r="AX4" s="2"/>
      <c r="AY4" s="2"/>
      <c r="AZ4" s="2"/>
      <c r="BA4" s="2"/>
    </row>
    <row r="5" spans="1:53" x14ac:dyDescent="0.25">
      <c r="A5" s="5" t="s">
        <v>0</v>
      </c>
      <c r="B5" s="6" t="s">
        <v>3</v>
      </c>
      <c r="C5" s="6" t="s">
        <v>4</v>
      </c>
      <c r="D5" s="6" t="s">
        <v>3</v>
      </c>
      <c r="E5" s="6" t="s">
        <v>4</v>
      </c>
      <c r="F5" s="6" t="s">
        <v>40</v>
      </c>
      <c r="G5" s="7" t="s">
        <v>3</v>
      </c>
      <c r="H5" s="7" t="s">
        <v>4</v>
      </c>
      <c r="I5" s="7" t="s">
        <v>3</v>
      </c>
      <c r="J5" s="7" t="s">
        <v>4</v>
      </c>
      <c r="K5" s="7" t="s">
        <v>3</v>
      </c>
      <c r="L5" s="7" t="s">
        <v>4</v>
      </c>
      <c r="M5" s="7" t="s">
        <v>3</v>
      </c>
      <c r="N5" s="7" t="s">
        <v>4</v>
      </c>
      <c r="O5" s="7" t="s">
        <v>3</v>
      </c>
      <c r="P5" s="7" t="s">
        <v>4</v>
      </c>
      <c r="Q5" s="7" t="s">
        <v>40</v>
      </c>
      <c r="R5" s="7" t="s">
        <v>3</v>
      </c>
      <c r="S5" s="7" t="s">
        <v>4</v>
      </c>
      <c r="T5" s="7" t="s">
        <v>3</v>
      </c>
      <c r="U5" s="7" t="s">
        <v>4</v>
      </c>
      <c r="V5" s="7" t="s">
        <v>4</v>
      </c>
      <c r="W5" s="7" t="s">
        <v>40</v>
      </c>
      <c r="X5" s="7" t="s">
        <v>3</v>
      </c>
      <c r="Y5" s="7" t="s">
        <v>4</v>
      </c>
      <c r="Z5" s="7" t="s">
        <v>4</v>
      </c>
      <c r="AA5" s="7" t="s">
        <v>4</v>
      </c>
      <c r="AB5" s="7" t="s">
        <v>40</v>
      </c>
      <c r="AC5" s="8" t="s">
        <v>4</v>
      </c>
      <c r="AD5" s="8" t="s">
        <v>4</v>
      </c>
      <c r="AE5" s="8" t="s">
        <v>40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40</v>
      </c>
      <c r="AO5" s="8" t="s">
        <v>4</v>
      </c>
      <c r="AP5" s="9" t="s">
        <v>4</v>
      </c>
      <c r="AQ5" s="9" t="s">
        <v>4</v>
      </c>
      <c r="AR5" s="9" t="s">
        <v>4</v>
      </c>
      <c r="AS5" s="9" t="s">
        <v>4</v>
      </c>
      <c r="AT5" s="9" t="s">
        <v>40</v>
      </c>
      <c r="AU5" s="15"/>
      <c r="AV5" s="34"/>
      <c r="AW5" s="13" t="s">
        <v>40</v>
      </c>
      <c r="AX5" s="10"/>
      <c r="AY5" s="10"/>
      <c r="AZ5" s="10"/>
      <c r="BA5" s="10"/>
    </row>
    <row r="6" spans="1:53" x14ac:dyDescent="0.25">
      <c r="A6" s="35" t="s">
        <v>54</v>
      </c>
      <c r="B6" s="16">
        <v>1</v>
      </c>
      <c r="C6" s="17">
        <f>B6*8</f>
        <v>8</v>
      </c>
      <c r="D6" s="13">
        <v>1</v>
      </c>
      <c r="E6" s="13">
        <f>D6*2.5</f>
        <v>2.5</v>
      </c>
      <c r="F6" s="38">
        <f>SUM(C6,E6)</f>
        <v>10.5</v>
      </c>
      <c r="G6" s="17">
        <v>2</v>
      </c>
      <c r="H6" s="17">
        <v>4</v>
      </c>
      <c r="I6" s="13"/>
      <c r="J6" s="13"/>
      <c r="K6" s="17"/>
      <c r="L6" s="17"/>
      <c r="M6" s="13"/>
      <c r="N6" s="13"/>
      <c r="O6" s="17"/>
      <c r="P6" s="17"/>
      <c r="Q6" s="40">
        <f>SUM(H6,J6,L6,N6,P6)</f>
        <v>4</v>
      </c>
      <c r="R6" s="13"/>
      <c r="S6" s="13"/>
      <c r="T6" s="17"/>
      <c r="U6" s="17"/>
      <c r="V6" s="13"/>
      <c r="W6" s="40">
        <f t="shared" ref="W6:W10" si="0">SUM(S6,U6,V6)</f>
        <v>0</v>
      </c>
      <c r="X6" s="17">
        <v>1</v>
      </c>
      <c r="Y6" s="17">
        <v>2</v>
      </c>
      <c r="Z6" s="13">
        <v>2</v>
      </c>
      <c r="AA6" s="17"/>
      <c r="AB6" s="40">
        <f t="shared" ref="AB6:AB10" si="1">SUM(Y6,Z6,AA6)</f>
        <v>4</v>
      </c>
      <c r="AC6" s="47">
        <v>61</v>
      </c>
      <c r="AD6" s="17"/>
      <c r="AE6" s="45">
        <f>SUM(AC6,AD6)</f>
        <v>61</v>
      </c>
      <c r="AF6" s="13"/>
      <c r="AG6" s="17">
        <v>20</v>
      </c>
      <c r="AH6" s="13"/>
      <c r="AI6" s="17"/>
      <c r="AJ6" s="13"/>
      <c r="AK6" s="17"/>
      <c r="AL6" s="13"/>
      <c r="AM6" s="35"/>
      <c r="AN6" s="44">
        <f>SUM(AF6:AM6)</f>
        <v>20</v>
      </c>
      <c r="AO6" s="44"/>
      <c r="AP6" s="17"/>
      <c r="AQ6" s="13"/>
      <c r="AR6" s="17">
        <v>18</v>
      </c>
      <c r="AS6" s="13"/>
      <c r="AT6" s="42">
        <f>SUM(AP6:AS6)</f>
        <v>18</v>
      </c>
      <c r="AU6" s="13">
        <v>2</v>
      </c>
      <c r="AV6" s="13">
        <v>3</v>
      </c>
      <c r="AW6" s="13">
        <f t="shared" ref="AW6:AW10" si="2">SUM(F6,Q6,W6,AB6,AE6,AN6,AO6,AT6)</f>
        <v>117.5</v>
      </c>
    </row>
    <row r="7" spans="1:53" x14ac:dyDescent="0.25">
      <c r="A7" s="35" t="s">
        <v>55</v>
      </c>
      <c r="B7" s="16"/>
      <c r="C7" s="17">
        <f t="shared" ref="C7:C10" si="3">B7*8</f>
        <v>0</v>
      </c>
      <c r="D7" s="13">
        <v>1</v>
      </c>
      <c r="E7" s="13">
        <f t="shared" ref="E7:E10" si="4">D7*2.5</f>
        <v>2.5</v>
      </c>
      <c r="F7" s="38">
        <f t="shared" ref="F7:F10" si="5">SUM(C7,E7)</f>
        <v>2.5</v>
      </c>
      <c r="G7" s="17">
        <v>2</v>
      </c>
      <c r="H7" s="17">
        <v>4</v>
      </c>
      <c r="I7" s="13"/>
      <c r="J7" s="13"/>
      <c r="K7" s="17"/>
      <c r="L7" s="17"/>
      <c r="M7" s="13"/>
      <c r="N7" s="13"/>
      <c r="O7" s="17"/>
      <c r="P7" s="17"/>
      <c r="Q7" s="40">
        <f t="shared" ref="Q7:Q10" si="6">SUM(H7,J7,L7,N7,P7)</f>
        <v>4</v>
      </c>
      <c r="R7" s="13">
        <v>1</v>
      </c>
      <c r="S7" s="13">
        <v>3</v>
      </c>
      <c r="T7" s="17">
        <v>1</v>
      </c>
      <c r="U7" s="17">
        <v>2</v>
      </c>
      <c r="V7" s="13"/>
      <c r="W7" s="40">
        <f t="shared" si="0"/>
        <v>5</v>
      </c>
      <c r="X7" s="17">
        <v>1</v>
      </c>
      <c r="Y7" s="17">
        <v>2</v>
      </c>
      <c r="Z7" s="13">
        <v>2</v>
      </c>
      <c r="AA7" s="17"/>
      <c r="AB7" s="40">
        <f t="shared" si="1"/>
        <v>4</v>
      </c>
      <c r="AC7" s="47">
        <v>72</v>
      </c>
      <c r="AD7" s="17"/>
      <c r="AE7" s="45">
        <f t="shared" ref="AE7:AE10" si="7">SUM(AC7,AD7)</f>
        <v>72</v>
      </c>
      <c r="AF7" s="13"/>
      <c r="AG7" s="17"/>
      <c r="AH7" s="13"/>
      <c r="AI7" s="17"/>
      <c r="AJ7" s="13"/>
      <c r="AK7" s="17"/>
      <c r="AL7" s="13"/>
      <c r="AM7" s="35"/>
      <c r="AN7" s="44">
        <f t="shared" ref="AN7:AN10" si="8">SUM(AF7:AM7)</f>
        <v>0</v>
      </c>
      <c r="AO7" s="44"/>
      <c r="AP7" s="17"/>
      <c r="AQ7" s="13"/>
      <c r="AR7" s="17">
        <v>18</v>
      </c>
      <c r="AS7" s="13">
        <v>3</v>
      </c>
      <c r="AT7" s="42">
        <f t="shared" ref="AT7:AT10" si="9">SUM(AP7:AS7)</f>
        <v>21</v>
      </c>
      <c r="AU7" s="13">
        <v>2</v>
      </c>
      <c r="AV7" s="13">
        <v>3</v>
      </c>
      <c r="AW7" s="13">
        <f t="shared" si="2"/>
        <v>108.5</v>
      </c>
    </row>
    <row r="8" spans="1:53" x14ac:dyDescent="0.25">
      <c r="A8" s="35" t="s">
        <v>56</v>
      </c>
      <c r="B8" s="16">
        <v>1</v>
      </c>
      <c r="C8" s="17">
        <f t="shared" si="3"/>
        <v>8</v>
      </c>
      <c r="D8" s="13">
        <v>2</v>
      </c>
      <c r="E8" s="13">
        <f t="shared" si="4"/>
        <v>5</v>
      </c>
      <c r="F8" s="38">
        <f t="shared" si="5"/>
        <v>13</v>
      </c>
      <c r="G8" s="17">
        <v>2</v>
      </c>
      <c r="H8" s="17">
        <v>2</v>
      </c>
      <c r="I8" s="13">
        <v>1</v>
      </c>
      <c r="J8" s="13">
        <v>4</v>
      </c>
      <c r="K8" s="17">
        <v>1</v>
      </c>
      <c r="L8" s="17">
        <v>1</v>
      </c>
      <c r="M8" s="13">
        <v>4</v>
      </c>
      <c r="N8" s="13">
        <v>9</v>
      </c>
      <c r="O8" s="17">
        <v>4</v>
      </c>
      <c r="P8" s="17">
        <v>6</v>
      </c>
      <c r="Q8" s="40">
        <f t="shared" si="6"/>
        <v>22</v>
      </c>
      <c r="R8" s="13">
        <v>1</v>
      </c>
      <c r="S8" s="13">
        <v>3</v>
      </c>
      <c r="T8" s="17">
        <v>1</v>
      </c>
      <c r="U8" s="17">
        <v>2</v>
      </c>
      <c r="V8" s="13"/>
      <c r="W8" s="40">
        <f t="shared" si="0"/>
        <v>5</v>
      </c>
      <c r="X8" s="17">
        <v>1</v>
      </c>
      <c r="Y8" s="17">
        <v>3</v>
      </c>
      <c r="Z8" s="13">
        <v>2</v>
      </c>
      <c r="AA8" s="17"/>
      <c r="AB8" s="40">
        <f t="shared" si="1"/>
        <v>5</v>
      </c>
      <c r="AC8" s="47">
        <v>45</v>
      </c>
      <c r="AD8" s="17"/>
      <c r="AE8" s="45">
        <f t="shared" si="7"/>
        <v>45</v>
      </c>
      <c r="AF8" s="13"/>
      <c r="AG8" s="17"/>
      <c r="AH8" s="13"/>
      <c r="AI8" s="17"/>
      <c r="AJ8" s="13"/>
      <c r="AK8" s="17"/>
      <c r="AL8" s="13"/>
      <c r="AM8" s="35">
        <v>2.5</v>
      </c>
      <c r="AN8" s="44">
        <f t="shared" si="8"/>
        <v>2.5</v>
      </c>
      <c r="AO8" s="44"/>
      <c r="AP8" s="17"/>
      <c r="AQ8" s="13"/>
      <c r="AR8" s="17">
        <v>3</v>
      </c>
      <c r="AS8" s="13"/>
      <c r="AT8" s="42">
        <f t="shared" si="9"/>
        <v>3</v>
      </c>
      <c r="AU8" s="13">
        <v>2</v>
      </c>
      <c r="AV8" s="13">
        <v>3</v>
      </c>
      <c r="AW8" s="13">
        <f t="shared" si="2"/>
        <v>95.5</v>
      </c>
    </row>
    <row r="9" spans="1:53" x14ac:dyDescent="0.25">
      <c r="A9" s="35" t="s">
        <v>57</v>
      </c>
      <c r="B9" s="16">
        <v>1</v>
      </c>
      <c r="C9" s="17">
        <f t="shared" si="3"/>
        <v>8</v>
      </c>
      <c r="D9" s="13">
        <v>3</v>
      </c>
      <c r="E9" s="13">
        <f t="shared" si="4"/>
        <v>7.5</v>
      </c>
      <c r="F9" s="38">
        <f t="shared" si="5"/>
        <v>15.5</v>
      </c>
      <c r="G9" s="17"/>
      <c r="H9" s="17"/>
      <c r="I9" s="13">
        <v>1</v>
      </c>
      <c r="J9" s="13">
        <v>3</v>
      </c>
      <c r="K9" s="17"/>
      <c r="L9" s="17"/>
      <c r="M9" s="13">
        <v>1</v>
      </c>
      <c r="N9" s="13">
        <v>3</v>
      </c>
      <c r="O9" s="17">
        <v>1</v>
      </c>
      <c r="P9" s="17">
        <v>1.5</v>
      </c>
      <c r="Q9" s="40">
        <f t="shared" si="6"/>
        <v>7.5</v>
      </c>
      <c r="R9" s="13">
        <v>1</v>
      </c>
      <c r="S9" s="13">
        <v>3</v>
      </c>
      <c r="T9" s="17">
        <v>1</v>
      </c>
      <c r="U9" s="17">
        <v>2</v>
      </c>
      <c r="V9" s="13"/>
      <c r="W9" s="40">
        <f t="shared" si="0"/>
        <v>5</v>
      </c>
      <c r="X9" s="17">
        <v>2</v>
      </c>
      <c r="Y9" s="17">
        <v>4.5</v>
      </c>
      <c r="Z9" s="13">
        <v>3.5</v>
      </c>
      <c r="AA9" s="17"/>
      <c r="AB9" s="40">
        <f t="shared" si="1"/>
        <v>8</v>
      </c>
      <c r="AC9" s="47">
        <v>21</v>
      </c>
      <c r="AD9" s="17"/>
      <c r="AE9" s="45">
        <f t="shared" si="7"/>
        <v>21</v>
      </c>
      <c r="AF9" s="13"/>
      <c r="AG9" s="17"/>
      <c r="AH9" s="13"/>
      <c r="AI9" s="17"/>
      <c r="AJ9" s="13"/>
      <c r="AK9" s="17"/>
      <c r="AL9" s="13"/>
      <c r="AM9" s="35">
        <v>5</v>
      </c>
      <c r="AN9" s="44">
        <f t="shared" si="8"/>
        <v>5</v>
      </c>
      <c r="AO9" s="44"/>
      <c r="AP9" s="17"/>
      <c r="AQ9" s="13"/>
      <c r="AR9" s="17"/>
      <c r="AS9" s="13"/>
      <c r="AT9" s="42">
        <f t="shared" si="9"/>
        <v>0</v>
      </c>
      <c r="AU9" s="13">
        <v>2</v>
      </c>
      <c r="AV9" s="13">
        <v>3</v>
      </c>
      <c r="AW9" s="13">
        <f t="shared" si="2"/>
        <v>62</v>
      </c>
    </row>
    <row r="10" spans="1:53" x14ac:dyDescent="0.25">
      <c r="A10" s="35" t="s">
        <v>58</v>
      </c>
      <c r="B10" s="16">
        <v>1</v>
      </c>
      <c r="C10" s="17">
        <f t="shared" si="3"/>
        <v>8</v>
      </c>
      <c r="D10" s="13">
        <v>2</v>
      </c>
      <c r="E10" s="13">
        <f t="shared" si="4"/>
        <v>5</v>
      </c>
      <c r="F10" s="38">
        <f t="shared" si="5"/>
        <v>13</v>
      </c>
      <c r="G10" s="17">
        <v>3</v>
      </c>
      <c r="H10" s="17">
        <v>5</v>
      </c>
      <c r="I10" s="13"/>
      <c r="J10" s="13"/>
      <c r="K10" s="17"/>
      <c r="L10" s="17"/>
      <c r="M10" s="13">
        <v>3</v>
      </c>
      <c r="N10" s="13">
        <v>7</v>
      </c>
      <c r="O10" s="17">
        <v>2</v>
      </c>
      <c r="P10" s="17">
        <v>3</v>
      </c>
      <c r="Q10" s="40">
        <f t="shared" si="6"/>
        <v>15</v>
      </c>
      <c r="R10" s="13"/>
      <c r="S10" s="13"/>
      <c r="T10" s="17"/>
      <c r="U10" s="17"/>
      <c r="V10" s="13"/>
      <c r="W10" s="40">
        <f t="shared" si="0"/>
        <v>0</v>
      </c>
      <c r="X10" s="17">
        <v>1</v>
      </c>
      <c r="Y10" s="17">
        <v>3</v>
      </c>
      <c r="Z10" s="13">
        <v>2</v>
      </c>
      <c r="AA10" s="17"/>
      <c r="AB10" s="40">
        <f t="shared" si="1"/>
        <v>5</v>
      </c>
      <c r="AC10" s="47"/>
      <c r="AD10" s="17"/>
      <c r="AE10" s="45">
        <f t="shared" si="7"/>
        <v>0</v>
      </c>
      <c r="AF10" s="13">
        <v>40</v>
      </c>
      <c r="AG10" s="17"/>
      <c r="AH10" s="13"/>
      <c r="AI10" s="17"/>
      <c r="AJ10" s="13"/>
      <c r="AK10" s="17"/>
      <c r="AL10" s="13"/>
      <c r="AM10" s="35"/>
      <c r="AN10" s="44">
        <f t="shared" si="8"/>
        <v>40</v>
      </c>
      <c r="AO10" s="44"/>
      <c r="AP10" s="17"/>
      <c r="AQ10" s="13"/>
      <c r="AR10" s="17"/>
      <c r="AS10" s="13"/>
      <c r="AT10" s="42">
        <f t="shared" si="9"/>
        <v>0</v>
      </c>
      <c r="AU10" s="13">
        <v>2</v>
      </c>
      <c r="AV10" s="13">
        <v>3</v>
      </c>
      <c r="AW10" s="13">
        <f t="shared" si="2"/>
        <v>73</v>
      </c>
    </row>
  </sheetData>
  <mergeCells count="19">
    <mergeCell ref="X4:Y4"/>
    <mergeCell ref="AU2:AU3"/>
    <mergeCell ref="AC3:AD3"/>
    <mergeCell ref="AF3:AM3"/>
    <mergeCell ref="X2:AA3"/>
    <mergeCell ref="AC2:AO2"/>
    <mergeCell ref="AP2:AS3"/>
    <mergeCell ref="M4:N4"/>
    <mergeCell ref="O4:P4"/>
    <mergeCell ref="B2:E3"/>
    <mergeCell ref="G2:P3"/>
    <mergeCell ref="R2:V3"/>
    <mergeCell ref="B4:C4"/>
    <mergeCell ref="D4:E4"/>
    <mergeCell ref="G4:H4"/>
    <mergeCell ref="I4:J4"/>
    <mergeCell ref="K4:L4"/>
    <mergeCell ref="R4:S4"/>
    <mergeCell ref="T4:U4"/>
  </mergeCells>
  <conditionalFormatting sqref="AU6:AV10">
    <cfRule type="cellIs" dxfId="28" priority="2" operator="lessThan">
      <formula>2</formula>
    </cfRule>
  </conditionalFormatting>
  <conditionalFormatting sqref="AV6:AV10">
    <cfRule type="cellIs" dxfId="27" priority="1" operator="lessThan">
      <formula>3</formula>
    </cfRule>
  </conditionalFormatting>
  <conditionalFormatting sqref="AW6:AW10">
    <cfRule type="cellIs" dxfId="26" priority="3" operator="lessThan">
      <formula>60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DA64-C98D-489C-A0A1-DFD4B042D099}">
  <dimension ref="A1:AW1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A10"/>
    </sheetView>
  </sheetViews>
  <sheetFormatPr baseColWidth="10" defaultRowHeight="15" x14ac:dyDescent="0.25"/>
  <cols>
    <col min="1" max="1" width="13.85546875" customWidth="1"/>
  </cols>
  <sheetData>
    <row r="1" spans="1:49" x14ac:dyDescent="0.25">
      <c r="AS1" s="14"/>
      <c r="AT1" s="2"/>
    </row>
    <row r="2" spans="1:49" x14ac:dyDescent="0.25">
      <c r="A2" s="1"/>
      <c r="B2" s="52" t="s">
        <v>11</v>
      </c>
      <c r="C2" s="53"/>
      <c r="D2" s="53"/>
      <c r="E2" s="54"/>
      <c r="F2" s="38"/>
      <c r="G2" s="58" t="s">
        <v>10</v>
      </c>
      <c r="H2" s="59"/>
      <c r="I2" s="59"/>
      <c r="J2" s="59"/>
      <c r="K2" s="59"/>
      <c r="L2" s="59"/>
      <c r="M2" s="59"/>
      <c r="N2" s="59"/>
      <c r="O2" s="59"/>
      <c r="P2" s="60"/>
      <c r="Q2" s="40"/>
      <c r="R2" s="58" t="s">
        <v>15</v>
      </c>
      <c r="S2" s="59"/>
      <c r="T2" s="59"/>
      <c r="U2" s="59"/>
      <c r="V2" s="60"/>
      <c r="W2" s="40"/>
      <c r="X2" s="58" t="s">
        <v>19</v>
      </c>
      <c r="Y2" s="59"/>
      <c r="Z2" s="59"/>
      <c r="AA2" s="60"/>
      <c r="AB2" s="40"/>
      <c r="AC2" s="70" t="s">
        <v>34</v>
      </c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73" t="s">
        <v>37</v>
      </c>
      <c r="AQ2" s="74"/>
      <c r="AR2" s="74"/>
      <c r="AS2" s="75"/>
      <c r="AT2" s="42"/>
      <c r="AU2" s="65"/>
      <c r="AV2" s="46"/>
      <c r="AW2" s="1"/>
    </row>
    <row r="3" spans="1:49" x14ac:dyDescent="0.25">
      <c r="A3" s="2"/>
      <c r="B3" s="55"/>
      <c r="C3" s="56"/>
      <c r="D3" s="56"/>
      <c r="E3" s="57"/>
      <c r="F3" s="39"/>
      <c r="G3" s="61"/>
      <c r="H3" s="62"/>
      <c r="I3" s="62"/>
      <c r="J3" s="62"/>
      <c r="K3" s="62"/>
      <c r="L3" s="62"/>
      <c r="M3" s="62"/>
      <c r="N3" s="62"/>
      <c r="O3" s="62"/>
      <c r="P3" s="63"/>
      <c r="Q3" s="41"/>
      <c r="R3" s="61"/>
      <c r="S3" s="62"/>
      <c r="T3" s="62"/>
      <c r="U3" s="62"/>
      <c r="V3" s="63"/>
      <c r="W3" s="41"/>
      <c r="X3" s="61"/>
      <c r="Y3" s="62"/>
      <c r="Z3" s="62"/>
      <c r="AA3" s="63"/>
      <c r="AB3" s="41"/>
      <c r="AC3" s="67" t="s">
        <v>35</v>
      </c>
      <c r="AD3" s="68"/>
      <c r="AE3" s="45"/>
      <c r="AF3" s="67" t="s">
        <v>36</v>
      </c>
      <c r="AG3" s="69"/>
      <c r="AH3" s="69"/>
      <c r="AI3" s="69"/>
      <c r="AJ3" s="69"/>
      <c r="AK3" s="69"/>
      <c r="AL3" s="69"/>
      <c r="AM3" s="68"/>
      <c r="AN3" s="44"/>
      <c r="AO3" s="8" t="s">
        <v>38</v>
      </c>
      <c r="AP3" s="76"/>
      <c r="AQ3" s="77"/>
      <c r="AR3" s="77"/>
      <c r="AS3" s="78"/>
      <c r="AT3" s="43"/>
      <c r="AU3" s="66"/>
      <c r="AV3" s="46"/>
      <c r="AW3" s="2"/>
    </row>
    <row r="4" spans="1:49" ht="153" x14ac:dyDescent="0.25">
      <c r="A4" s="11" t="s">
        <v>45</v>
      </c>
      <c r="B4" s="64" t="s">
        <v>1</v>
      </c>
      <c r="C4" s="64"/>
      <c r="D4" s="64" t="s">
        <v>2</v>
      </c>
      <c r="E4" s="64"/>
      <c r="F4" s="27" t="s">
        <v>11</v>
      </c>
      <c r="G4" s="50" t="s">
        <v>5</v>
      </c>
      <c r="H4" s="51"/>
      <c r="I4" s="50" t="s">
        <v>6</v>
      </c>
      <c r="J4" s="51"/>
      <c r="K4" s="50" t="s">
        <v>7</v>
      </c>
      <c r="L4" s="51"/>
      <c r="M4" s="50" t="s">
        <v>8</v>
      </c>
      <c r="N4" s="51"/>
      <c r="O4" s="50" t="s">
        <v>9</v>
      </c>
      <c r="P4" s="51"/>
      <c r="Q4" s="28" t="s">
        <v>41</v>
      </c>
      <c r="R4" s="50" t="s">
        <v>12</v>
      </c>
      <c r="S4" s="51"/>
      <c r="T4" s="50" t="s">
        <v>13</v>
      </c>
      <c r="U4" s="51"/>
      <c r="V4" s="37" t="s">
        <v>14</v>
      </c>
      <c r="W4" s="28" t="s">
        <v>15</v>
      </c>
      <c r="X4" s="50" t="s">
        <v>16</v>
      </c>
      <c r="Y4" s="51"/>
      <c r="Z4" s="37" t="s">
        <v>17</v>
      </c>
      <c r="AA4" s="37" t="s">
        <v>18</v>
      </c>
      <c r="AB4" s="29" t="s">
        <v>19</v>
      </c>
      <c r="AC4" s="3" t="s">
        <v>20</v>
      </c>
      <c r="AD4" s="3" t="s">
        <v>21</v>
      </c>
      <c r="AE4" s="3" t="s">
        <v>35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36</v>
      </c>
      <c r="AO4" s="3" t="s">
        <v>30</v>
      </c>
      <c r="AP4" s="4" t="s">
        <v>31</v>
      </c>
      <c r="AQ4" s="4" t="s">
        <v>32</v>
      </c>
      <c r="AR4" s="4" t="s">
        <v>43</v>
      </c>
      <c r="AS4" s="4" t="s">
        <v>33</v>
      </c>
      <c r="AT4" s="4" t="s">
        <v>42</v>
      </c>
      <c r="AU4" s="31" t="s">
        <v>39</v>
      </c>
      <c r="AV4" s="33" t="s">
        <v>44</v>
      </c>
      <c r="AW4" s="12" t="s">
        <v>46</v>
      </c>
    </row>
    <row r="5" spans="1:49" x14ac:dyDescent="0.25">
      <c r="A5" s="5" t="s">
        <v>0</v>
      </c>
      <c r="B5" s="6" t="s">
        <v>3</v>
      </c>
      <c r="C5" s="6" t="s">
        <v>4</v>
      </c>
      <c r="D5" s="6" t="s">
        <v>3</v>
      </c>
      <c r="E5" s="6" t="s">
        <v>4</v>
      </c>
      <c r="F5" s="6" t="s">
        <v>40</v>
      </c>
      <c r="G5" s="7" t="s">
        <v>3</v>
      </c>
      <c r="H5" s="7" t="s">
        <v>4</v>
      </c>
      <c r="I5" s="7" t="s">
        <v>3</v>
      </c>
      <c r="J5" s="7" t="s">
        <v>4</v>
      </c>
      <c r="K5" s="7" t="s">
        <v>3</v>
      </c>
      <c r="L5" s="7" t="s">
        <v>4</v>
      </c>
      <c r="M5" s="7" t="s">
        <v>3</v>
      </c>
      <c r="N5" s="7" t="s">
        <v>4</v>
      </c>
      <c r="O5" s="7" t="s">
        <v>3</v>
      </c>
      <c r="P5" s="7" t="s">
        <v>4</v>
      </c>
      <c r="Q5" s="7" t="s">
        <v>40</v>
      </c>
      <c r="R5" s="7" t="s">
        <v>3</v>
      </c>
      <c r="S5" s="7" t="s">
        <v>4</v>
      </c>
      <c r="T5" s="7" t="s">
        <v>3</v>
      </c>
      <c r="U5" s="7" t="s">
        <v>4</v>
      </c>
      <c r="V5" s="7" t="s">
        <v>4</v>
      </c>
      <c r="W5" s="7" t="s">
        <v>40</v>
      </c>
      <c r="X5" s="7" t="s">
        <v>3</v>
      </c>
      <c r="Y5" s="7" t="s">
        <v>4</v>
      </c>
      <c r="Z5" s="7" t="s">
        <v>4</v>
      </c>
      <c r="AA5" s="7" t="s">
        <v>4</v>
      </c>
      <c r="AB5" s="7" t="s">
        <v>40</v>
      </c>
      <c r="AC5" s="8" t="s">
        <v>4</v>
      </c>
      <c r="AD5" s="8" t="s">
        <v>4</v>
      </c>
      <c r="AE5" s="8" t="s">
        <v>40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40</v>
      </c>
      <c r="AO5" s="8" t="s">
        <v>4</v>
      </c>
      <c r="AP5" s="9" t="s">
        <v>4</v>
      </c>
      <c r="AQ5" s="9" t="s">
        <v>4</v>
      </c>
      <c r="AR5" s="9" t="s">
        <v>4</v>
      </c>
      <c r="AS5" s="9" t="s">
        <v>4</v>
      </c>
      <c r="AT5" s="9" t="s">
        <v>40</v>
      </c>
      <c r="AU5" s="15" t="s">
        <v>3</v>
      </c>
      <c r="AV5" s="34" t="s">
        <v>3</v>
      </c>
      <c r="AW5" s="13" t="s">
        <v>40</v>
      </c>
    </row>
    <row r="6" spans="1:49" x14ac:dyDescent="0.25">
      <c r="A6" s="35" t="s">
        <v>54</v>
      </c>
      <c r="B6" s="16">
        <v>0</v>
      </c>
      <c r="C6" s="17">
        <f>B6*8</f>
        <v>0</v>
      </c>
      <c r="D6" s="13">
        <v>2</v>
      </c>
      <c r="E6" s="13">
        <f>D6*2.5</f>
        <v>5</v>
      </c>
      <c r="F6" s="38">
        <f>SUM(C6,E6)</f>
        <v>5</v>
      </c>
      <c r="G6" s="17">
        <v>6</v>
      </c>
      <c r="H6" s="17">
        <v>15</v>
      </c>
      <c r="I6" s="13">
        <v>1</v>
      </c>
      <c r="J6" s="13">
        <v>3</v>
      </c>
      <c r="K6" s="17">
        <v>1</v>
      </c>
      <c r="L6" s="17">
        <v>1</v>
      </c>
      <c r="M6" s="13">
        <v>1</v>
      </c>
      <c r="N6" s="13">
        <v>2.5</v>
      </c>
      <c r="O6" s="17">
        <v>1</v>
      </c>
      <c r="P6" s="17">
        <v>1.5</v>
      </c>
      <c r="Q6" s="40">
        <f>SUM(H6,J6,L6,N6,P6)</f>
        <v>23</v>
      </c>
      <c r="R6" s="13">
        <v>5</v>
      </c>
      <c r="S6" s="13">
        <v>15</v>
      </c>
      <c r="T6" s="17">
        <v>5</v>
      </c>
      <c r="U6" s="17">
        <v>10</v>
      </c>
      <c r="V6" s="13">
        <v>3</v>
      </c>
      <c r="W6" s="40">
        <f t="shared" ref="W6:W10" si="0">SUM(S6,U6,V6)</f>
        <v>28</v>
      </c>
      <c r="X6" s="17">
        <v>1</v>
      </c>
      <c r="Y6" s="17">
        <v>2</v>
      </c>
      <c r="Z6" s="13">
        <v>2</v>
      </c>
      <c r="AA6" s="17">
        <v>4</v>
      </c>
      <c r="AB6" s="40">
        <f t="shared" ref="AB6:AB10" si="1">SUM(Y6,Z6,AA6)</f>
        <v>8</v>
      </c>
      <c r="AC6" s="47"/>
      <c r="AD6" s="17"/>
      <c r="AE6" s="8">
        <v>15</v>
      </c>
      <c r="AF6" s="13"/>
      <c r="AG6" s="17"/>
      <c r="AH6" s="13"/>
      <c r="AI6" s="17"/>
      <c r="AJ6" s="13"/>
      <c r="AK6" s="17"/>
      <c r="AL6" s="13"/>
      <c r="AM6" s="17">
        <v>2.5</v>
      </c>
      <c r="AN6" s="44">
        <f>SUM(AF6:AM6)</f>
        <v>2.5</v>
      </c>
      <c r="AO6" s="8">
        <v>7</v>
      </c>
      <c r="AP6" s="17"/>
      <c r="AQ6" s="13"/>
      <c r="AR6" s="17">
        <v>3</v>
      </c>
      <c r="AS6" s="13">
        <v>3</v>
      </c>
      <c r="AT6" s="42">
        <f>SUM(AP6:AS6)</f>
        <v>6</v>
      </c>
      <c r="AU6" s="13">
        <v>2</v>
      </c>
      <c r="AV6" s="13">
        <v>2</v>
      </c>
      <c r="AW6" s="13">
        <f t="shared" ref="AW6:AW10" si="2">SUM(F6,Q6,W6,AB6,AE6,AN6,AO6,AT6)</f>
        <v>94.5</v>
      </c>
    </row>
    <row r="7" spans="1:49" x14ac:dyDescent="0.25">
      <c r="A7" s="35" t="s">
        <v>55</v>
      </c>
      <c r="B7" s="16">
        <v>2</v>
      </c>
      <c r="C7" s="17">
        <f t="shared" ref="C7:C10" si="3">B7*8</f>
        <v>16</v>
      </c>
      <c r="D7" s="13">
        <v>0</v>
      </c>
      <c r="E7" s="13">
        <f t="shared" ref="E7:E10" si="4">D7*2.5</f>
        <v>0</v>
      </c>
      <c r="F7" s="38">
        <f t="shared" ref="F7:F10" si="5">SUM(C7,E7)</f>
        <v>16</v>
      </c>
      <c r="G7" s="17">
        <v>2</v>
      </c>
      <c r="H7" s="17">
        <v>5</v>
      </c>
      <c r="I7" s="13"/>
      <c r="J7" s="13"/>
      <c r="K7" s="17"/>
      <c r="L7" s="17"/>
      <c r="M7" s="13">
        <v>1</v>
      </c>
      <c r="N7" s="13">
        <v>2.5</v>
      </c>
      <c r="O7" s="17"/>
      <c r="P7" s="17"/>
      <c r="Q7" s="40">
        <f t="shared" ref="Q7:Q10" si="6">SUM(H7,J7,L7,N7,P7)</f>
        <v>7.5</v>
      </c>
      <c r="R7" s="13">
        <v>4</v>
      </c>
      <c r="S7" s="13">
        <v>12</v>
      </c>
      <c r="T7" s="17">
        <v>4</v>
      </c>
      <c r="U7" s="17">
        <v>8</v>
      </c>
      <c r="V7" s="13"/>
      <c r="W7" s="40">
        <f t="shared" si="0"/>
        <v>20</v>
      </c>
      <c r="X7" s="17">
        <v>1</v>
      </c>
      <c r="Y7" s="17">
        <v>2</v>
      </c>
      <c r="Z7" s="13">
        <v>2</v>
      </c>
      <c r="AA7" s="17">
        <v>4</v>
      </c>
      <c r="AB7" s="40">
        <f t="shared" si="1"/>
        <v>8</v>
      </c>
      <c r="AC7" s="47"/>
      <c r="AD7" s="17"/>
      <c r="AE7" s="8"/>
      <c r="AF7" s="13">
        <v>20</v>
      </c>
      <c r="AG7" s="17"/>
      <c r="AH7" s="13"/>
      <c r="AI7" s="17"/>
      <c r="AJ7" s="13">
        <v>10</v>
      </c>
      <c r="AK7" s="17"/>
      <c r="AL7" s="13"/>
      <c r="AM7" s="17"/>
      <c r="AN7" s="44">
        <f t="shared" ref="AN7:AN10" si="7">SUM(AF7:AM7)</f>
        <v>30</v>
      </c>
      <c r="AO7" s="8">
        <v>7</v>
      </c>
      <c r="AP7" s="17"/>
      <c r="AQ7" s="13"/>
      <c r="AR7" s="17">
        <v>7</v>
      </c>
      <c r="AS7" s="13"/>
      <c r="AT7" s="42">
        <f t="shared" ref="AT7:AT10" si="8">SUM(AP7:AS7)</f>
        <v>7</v>
      </c>
      <c r="AU7" s="13">
        <v>2</v>
      </c>
      <c r="AV7" s="13">
        <v>2</v>
      </c>
      <c r="AW7" s="13">
        <f t="shared" si="2"/>
        <v>95.5</v>
      </c>
    </row>
    <row r="8" spans="1:49" x14ac:dyDescent="0.25">
      <c r="A8" s="35" t="s">
        <v>56</v>
      </c>
      <c r="B8" s="16">
        <v>1</v>
      </c>
      <c r="C8" s="17">
        <f t="shared" si="3"/>
        <v>8</v>
      </c>
      <c r="D8" s="13">
        <v>1</v>
      </c>
      <c r="E8" s="13">
        <f t="shared" si="4"/>
        <v>2.5</v>
      </c>
      <c r="F8" s="38">
        <f t="shared" si="5"/>
        <v>10.5</v>
      </c>
      <c r="G8" s="17">
        <v>4</v>
      </c>
      <c r="H8" s="17">
        <v>4</v>
      </c>
      <c r="I8" s="13">
        <v>1</v>
      </c>
      <c r="J8" s="13">
        <v>2</v>
      </c>
      <c r="K8" s="17">
        <v>6</v>
      </c>
      <c r="L8" s="17">
        <v>6</v>
      </c>
      <c r="M8" s="13">
        <v>5</v>
      </c>
      <c r="N8" s="13">
        <v>12.5</v>
      </c>
      <c r="O8" s="17">
        <v>5</v>
      </c>
      <c r="P8" s="17">
        <v>7.5</v>
      </c>
      <c r="Q8" s="40">
        <f t="shared" si="6"/>
        <v>32</v>
      </c>
      <c r="R8" s="13">
        <v>4</v>
      </c>
      <c r="S8" s="13">
        <v>12</v>
      </c>
      <c r="T8" s="17">
        <v>4</v>
      </c>
      <c r="U8" s="17">
        <v>8</v>
      </c>
      <c r="V8" s="13"/>
      <c r="W8" s="40">
        <f t="shared" si="0"/>
        <v>20</v>
      </c>
      <c r="X8" s="17">
        <v>2</v>
      </c>
      <c r="Y8" s="17">
        <v>5</v>
      </c>
      <c r="Z8" s="13">
        <v>4</v>
      </c>
      <c r="AA8" s="17">
        <v>2</v>
      </c>
      <c r="AB8" s="40">
        <f t="shared" si="1"/>
        <v>11</v>
      </c>
      <c r="AC8" s="47"/>
      <c r="AD8" s="17"/>
      <c r="AE8" s="8"/>
      <c r="AF8" s="13">
        <v>40</v>
      </c>
      <c r="AG8" s="17"/>
      <c r="AH8" s="13"/>
      <c r="AI8" s="17"/>
      <c r="AJ8" s="13"/>
      <c r="AK8" s="17"/>
      <c r="AL8" s="13"/>
      <c r="AM8" s="17">
        <v>5</v>
      </c>
      <c r="AN8" s="44">
        <f t="shared" si="7"/>
        <v>45</v>
      </c>
      <c r="AO8" s="8"/>
      <c r="AP8" s="17"/>
      <c r="AQ8" s="13"/>
      <c r="AR8" s="17"/>
      <c r="AS8" s="13"/>
      <c r="AT8" s="42">
        <f t="shared" si="8"/>
        <v>0</v>
      </c>
      <c r="AU8" s="13">
        <v>2</v>
      </c>
      <c r="AV8" s="13">
        <v>2</v>
      </c>
      <c r="AW8" s="13">
        <f t="shared" si="2"/>
        <v>118.5</v>
      </c>
    </row>
    <row r="9" spans="1:49" x14ac:dyDescent="0.25">
      <c r="A9" s="35" t="s">
        <v>57</v>
      </c>
      <c r="B9" s="16">
        <v>1</v>
      </c>
      <c r="C9" s="17">
        <f t="shared" si="3"/>
        <v>8</v>
      </c>
      <c r="D9" s="13">
        <v>2</v>
      </c>
      <c r="E9" s="13">
        <f t="shared" si="4"/>
        <v>5</v>
      </c>
      <c r="F9" s="38">
        <f t="shared" si="5"/>
        <v>13</v>
      </c>
      <c r="G9" s="17">
        <v>1</v>
      </c>
      <c r="H9" s="17">
        <v>1</v>
      </c>
      <c r="I9" s="13">
        <v>1</v>
      </c>
      <c r="J9" s="13">
        <v>3</v>
      </c>
      <c r="K9" s="17">
        <v>2</v>
      </c>
      <c r="L9" s="17">
        <v>2</v>
      </c>
      <c r="M9" s="13">
        <v>2</v>
      </c>
      <c r="N9" s="13">
        <v>5</v>
      </c>
      <c r="O9" s="17">
        <v>2</v>
      </c>
      <c r="P9" s="17">
        <v>3</v>
      </c>
      <c r="Q9" s="40">
        <f t="shared" si="6"/>
        <v>14</v>
      </c>
      <c r="R9" s="13">
        <v>4</v>
      </c>
      <c r="S9" s="13">
        <v>12</v>
      </c>
      <c r="T9" s="17">
        <v>4</v>
      </c>
      <c r="U9" s="17">
        <v>8</v>
      </c>
      <c r="V9" s="13"/>
      <c r="W9" s="40">
        <f t="shared" si="0"/>
        <v>20</v>
      </c>
      <c r="X9" s="17">
        <v>2</v>
      </c>
      <c r="Y9" s="17">
        <v>4</v>
      </c>
      <c r="Z9" s="13">
        <v>4</v>
      </c>
      <c r="AA9" s="17">
        <v>1</v>
      </c>
      <c r="AB9" s="40">
        <f t="shared" si="1"/>
        <v>9</v>
      </c>
      <c r="AC9" s="47"/>
      <c r="AD9" s="17"/>
      <c r="AE9" s="8"/>
      <c r="AF9" s="13"/>
      <c r="AG9" s="17"/>
      <c r="AH9" s="13"/>
      <c r="AI9" s="17">
        <v>15</v>
      </c>
      <c r="AJ9" s="13"/>
      <c r="AK9" s="17"/>
      <c r="AL9" s="13"/>
      <c r="AM9" s="17"/>
      <c r="AN9" s="44">
        <f t="shared" si="7"/>
        <v>15</v>
      </c>
      <c r="AO9" s="8"/>
      <c r="AP9" s="17"/>
      <c r="AQ9" s="13"/>
      <c r="AR9" s="17">
        <v>3</v>
      </c>
      <c r="AS9" s="13"/>
      <c r="AT9" s="42">
        <f t="shared" si="8"/>
        <v>3</v>
      </c>
      <c r="AU9" s="13">
        <v>2</v>
      </c>
      <c r="AV9" s="13">
        <v>2</v>
      </c>
      <c r="AW9" s="13">
        <f t="shared" si="2"/>
        <v>74</v>
      </c>
    </row>
    <row r="10" spans="1:49" x14ac:dyDescent="0.25">
      <c r="A10" s="35" t="s">
        <v>58</v>
      </c>
      <c r="B10" s="16">
        <v>1</v>
      </c>
      <c r="C10" s="17">
        <f t="shared" si="3"/>
        <v>8</v>
      </c>
      <c r="D10" s="13">
        <v>2</v>
      </c>
      <c r="E10" s="13">
        <f t="shared" si="4"/>
        <v>5</v>
      </c>
      <c r="F10" s="38">
        <f t="shared" si="5"/>
        <v>13</v>
      </c>
      <c r="G10" s="17"/>
      <c r="H10" s="17"/>
      <c r="I10" s="13"/>
      <c r="J10" s="13"/>
      <c r="K10" s="17"/>
      <c r="L10" s="17"/>
      <c r="M10" s="13">
        <v>1</v>
      </c>
      <c r="N10" s="13">
        <v>2.5</v>
      </c>
      <c r="O10" s="17">
        <v>1</v>
      </c>
      <c r="P10" s="17">
        <v>1.5</v>
      </c>
      <c r="Q10" s="40">
        <f t="shared" si="6"/>
        <v>4</v>
      </c>
      <c r="R10" s="13"/>
      <c r="S10" s="13"/>
      <c r="T10" s="17"/>
      <c r="U10" s="17"/>
      <c r="V10" s="13"/>
      <c r="W10" s="40">
        <f t="shared" si="0"/>
        <v>0</v>
      </c>
      <c r="X10" s="17">
        <v>1</v>
      </c>
      <c r="Y10" s="17">
        <v>2</v>
      </c>
      <c r="Z10" s="13">
        <v>2</v>
      </c>
      <c r="AA10" s="17">
        <v>2</v>
      </c>
      <c r="AB10" s="40">
        <f t="shared" si="1"/>
        <v>6</v>
      </c>
      <c r="AC10" s="47"/>
      <c r="AD10" s="17"/>
      <c r="AE10" s="8">
        <v>99</v>
      </c>
      <c r="AF10" s="13"/>
      <c r="AG10" s="17">
        <v>20</v>
      </c>
      <c r="AH10" s="13"/>
      <c r="AI10" s="17"/>
      <c r="AJ10" s="13"/>
      <c r="AK10" s="17"/>
      <c r="AL10" s="13"/>
      <c r="AM10" s="17">
        <v>2.5</v>
      </c>
      <c r="AN10" s="44">
        <f t="shared" si="7"/>
        <v>22.5</v>
      </c>
      <c r="AO10" s="8">
        <v>7</v>
      </c>
      <c r="AP10" s="17"/>
      <c r="AQ10" s="13"/>
      <c r="AR10" s="17"/>
      <c r="AS10" s="13"/>
      <c r="AT10" s="42">
        <f t="shared" si="8"/>
        <v>0</v>
      </c>
      <c r="AU10" s="13">
        <v>2</v>
      </c>
      <c r="AV10" s="13">
        <v>2</v>
      </c>
      <c r="AW10" s="13">
        <f t="shared" si="2"/>
        <v>151.5</v>
      </c>
    </row>
  </sheetData>
  <mergeCells count="19">
    <mergeCell ref="X4:Y4"/>
    <mergeCell ref="AU2:AU3"/>
    <mergeCell ref="AC3:AD3"/>
    <mergeCell ref="AF3:AM3"/>
    <mergeCell ref="X2:AA3"/>
    <mergeCell ref="AC2:AO2"/>
    <mergeCell ref="AP2:AS3"/>
    <mergeCell ref="M4:N4"/>
    <mergeCell ref="O4:P4"/>
    <mergeCell ref="B2:E3"/>
    <mergeCell ref="G2:P3"/>
    <mergeCell ref="R2:V3"/>
    <mergeCell ref="B4:C4"/>
    <mergeCell ref="D4:E4"/>
    <mergeCell ref="G4:H4"/>
    <mergeCell ref="I4:J4"/>
    <mergeCell ref="K4:L4"/>
    <mergeCell ref="R4:S4"/>
    <mergeCell ref="T4:U4"/>
  </mergeCells>
  <conditionalFormatting sqref="AU6:AV10">
    <cfRule type="cellIs" dxfId="25" priority="1" operator="lessThan">
      <formula>2</formula>
    </cfRule>
  </conditionalFormatting>
  <conditionalFormatting sqref="AW6:AW10">
    <cfRule type="cellIs" dxfId="24" priority="2" operator="lessThan">
      <formula>69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A10"/>
    </sheetView>
  </sheetViews>
  <sheetFormatPr baseColWidth="10" defaultRowHeight="15" x14ac:dyDescent="0.25"/>
  <cols>
    <col min="1" max="1" width="13.85546875" customWidth="1"/>
    <col min="2" max="2" width="7" bestFit="1" customWidth="1"/>
    <col min="3" max="3" width="7.28515625" bestFit="1" customWidth="1"/>
    <col min="4" max="4" width="7" bestFit="1" customWidth="1"/>
    <col min="5" max="5" width="7.28515625" bestFit="1" customWidth="1"/>
    <col min="6" max="6" width="7.28515625" customWidth="1"/>
    <col min="7" max="7" width="7" bestFit="1" customWidth="1"/>
    <col min="8" max="8" width="7.28515625" bestFit="1" customWidth="1"/>
    <col min="9" max="9" width="7" bestFit="1" customWidth="1"/>
    <col min="10" max="10" width="7.28515625" bestFit="1" customWidth="1"/>
    <col min="11" max="11" width="7" bestFit="1" customWidth="1"/>
    <col min="12" max="12" width="7.28515625" bestFit="1" customWidth="1"/>
    <col min="13" max="13" width="7" bestFit="1" customWidth="1"/>
    <col min="14" max="14" width="7.28515625" bestFit="1" customWidth="1"/>
    <col min="15" max="15" width="7" bestFit="1" customWidth="1"/>
    <col min="16" max="16" width="7.28515625" bestFit="1" customWidth="1"/>
    <col min="17" max="17" width="7.28515625" customWidth="1"/>
    <col min="18" max="18" width="7" bestFit="1" customWidth="1"/>
    <col min="19" max="19" width="7.28515625" bestFit="1" customWidth="1"/>
    <col min="20" max="20" width="7" bestFit="1" customWidth="1"/>
    <col min="21" max="22" width="7.28515625" bestFit="1" customWidth="1"/>
    <col min="23" max="23" width="7.28515625" customWidth="1"/>
    <col min="24" max="24" width="7" bestFit="1" customWidth="1"/>
    <col min="25" max="27" width="7.28515625" bestFit="1" customWidth="1"/>
    <col min="28" max="28" width="7.28515625" customWidth="1"/>
    <col min="29" max="30" width="7.28515625" bestFit="1" customWidth="1"/>
    <col min="31" max="31" width="7.28515625" customWidth="1"/>
    <col min="32" max="39" width="7.28515625" bestFit="1" customWidth="1"/>
    <col min="40" max="40" width="7.28515625" customWidth="1"/>
    <col min="41" max="45" width="7.28515625" bestFit="1" customWidth="1"/>
    <col min="46" max="47" width="7.28515625" customWidth="1"/>
  </cols>
  <sheetData>
    <row r="1" spans="1:48" x14ac:dyDescent="0.25">
      <c r="AS1" s="14"/>
      <c r="AT1" s="30"/>
    </row>
    <row r="2" spans="1:48" s="1" customFormat="1" ht="15" customHeight="1" x14ac:dyDescent="0.25">
      <c r="B2" s="52" t="s">
        <v>11</v>
      </c>
      <c r="C2" s="53"/>
      <c r="D2" s="53"/>
      <c r="E2" s="54"/>
      <c r="F2" s="18"/>
      <c r="G2" s="58" t="s">
        <v>10</v>
      </c>
      <c r="H2" s="59"/>
      <c r="I2" s="59"/>
      <c r="J2" s="59"/>
      <c r="K2" s="59"/>
      <c r="L2" s="59"/>
      <c r="M2" s="59"/>
      <c r="N2" s="59"/>
      <c r="O2" s="59"/>
      <c r="P2" s="60"/>
      <c r="Q2" s="20"/>
      <c r="R2" s="58" t="s">
        <v>15</v>
      </c>
      <c r="S2" s="59"/>
      <c r="T2" s="59"/>
      <c r="U2" s="59"/>
      <c r="V2" s="60"/>
      <c r="W2" s="20"/>
      <c r="X2" s="58" t="s">
        <v>19</v>
      </c>
      <c r="Y2" s="59"/>
      <c r="Z2" s="59"/>
      <c r="AA2" s="60"/>
      <c r="AB2" s="20"/>
      <c r="AC2" s="70" t="s">
        <v>34</v>
      </c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73" t="s">
        <v>37</v>
      </c>
      <c r="AQ2" s="74"/>
      <c r="AR2" s="74"/>
      <c r="AS2" s="75"/>
      <c r="AT2" s="22"/>
      <c r="AU2" s="65"/>
    </row>
    <row r="3" spans="1:48" s="2" customFormat="1" x14ac:dyDescent="0.25">
      <c r="B3" s="55"/>
      <c r="C3" s="56"/>
      <c r="D3" s="56"/>
      <c r="E3" s="57"/>
      <c r="F3" s="19"/>
      <c r="G3" s="61"/>
      <c r="H3" s="62"/>
      <c r="I3" s="62"/>
      <c r="J3" s="62"/>
      <c r="K3" s="62"/>
      <c r="L3" s="62"/>
      <c r="M3" s="62"/>
      <c r="N3" s="62"/>
      <c r="O3" s="62"/>
      <c r="P3" s="63"/>
      <c r="Q3" s="21"/>
      <c r="R3" s="61"/>
      <c r="S3" s="62"/>
      <c r="T3" s="62"/>
      <c r="U3" s="62"/>
      <c r="V3" s="63"/>
      <c r="W3" s="21"/>
      <c r="X3" s="61"/>
      <c r="Y3" s="62"/>
      <c r="Z3" s="62"/>
      <c r="AA3" s="63"/>
      <c r="AB3" s="21"/>
      <c r="AC3" s="67" t="s">
        <v>35</v>
      </c>
      <c r="AD3" s="68"/>
      <c r="AE3" s="25"/>
      <c r="AF3" s="67" t="s">
        <v>36</v>
      </c>
      <c r="AG3" s="69"/>
      <c r="AH3" s="69"/>
      <c r="AI3" s="69"/>
      <c r="AJ3" s="69"/>
      <c r="AK3" s="69"/>
      <c r="AL3" s="69"/>
      <c r="AM3" s="68"/>
      <c r="AN3" s="24"/>
      <c r="AO3" s="8" t="s">
        <v>38</v>
      </c>
      <c r="AP3" s="76"/>
      <c r="AQ3" s="77"/>
      <c r="AR3" s="77"/>
      <c r="AS3" s="78"/>
      <c r="AT3" s="23"/>
      <c r="AU3" s="66"/>
    </row>
    <row r="4" spans="1:48" s="2" customFormat="1" ht="141" x14ac:dyDescent="0.25">
      <c r="A4" s="11" t="s">
        <v>47</v>
      </c>
      <c r="B4" s="64" t="s">
        <v>1</v>
      </c>
      <c r="C4" s="64"/>
      <c r="D4" s="64" t="s">
        <v>2</v>
      </c>
      <c r="E4" s="64"/>
      <c r="F4" s="27" t="s">
        <v>11</v>
      </c>
      <c r="G4" s="50" t="s">
        <v>5</v>
      </c>
      <c r="H4" s="51"/>
      <c r="I4" s="50" t="s">
        <v>6</v>
      </c>
      <c r="J4" s="51"/>
      <c r="K4" s="50" t="s">
        <v>7</v>
      </c>
      <c r="L4" s="51"/>
      <c r="M4" s="50" t="s">
        <v>8</v>
      </c>
      <c r="N4" s="51"/>
      <c r="O4" s="50" t="s">
        <v>9</v>
      </c>
      <c r="P4" s="51"/>
      <c r="Q4" s="28" t="s">
        <v>41</v>
      </c>
      <c r="R4" s="50" t="s">
        <v>12</v>
      </c>
      <c r="S4" s="51"/>
      <c r="T4" s="50" t="s">
        <v>13</v>
      </c>
      <c r="U4" s="51"/>
      <c r="V4" s="26" t="s">
        <v>14</v>
      </c>
      <c r="W4" s="28" t="s">
        <v>15</v>
      </c>
      <c r="X4" s="50" t="s">
        <v>16</v>
      </c>
      <c r="Y4" s="51"/>
      <c r="Z4" s="26" t="s">
        <v>17</v>
      </c>
      <c r="AA4" s="26" t="s">
        <v>18</v>
      </c>
      <c r="AB4" s="29" t="s">
        <v>19</v>
      </c>
      <c r="AC4" s="3" t="s">
        <v>20</v>
      </c>
      <c r="AD4" s="3" t="s">
        <v>21</v>
      </c>
      <c r="AE4" s="3" t="s">
        <v>35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36</v>
      </c>
      <c r="AO4" s="3" t="s">
        <v>30</v>
      </c>
      <c r="AP4" s="4" t="s">
        <v>31</v>
      </c>
      <c r="AQ4" s="4" t="s">
        <v>32</v>
      </c>
      <c r="AR4" s="4" t="s">
        <v>43</v>
      </c>
      <c r="AS4" s="4" t="s">
        <v>33</v>
      </c>
      <c r="AT4" s="4" t="s">
        <v>42</v>
      </c>
      <c r="AU4" s="31" t="s">
        <v>39</v>
      </c>
      <c r="AV4" s="12" t="s">
        <v>48</v>
      </c>
    </row>
    <row r="5" spans="1:48" s="10" customFormat="1" x14ac:dyDescent="0.25">
      <c r="A5" s="5" t="s">
        <v>0</v>
      </c>
      <c r="B5" s="6" t="s">
        <v>3</v>
      </c>
      <c r="C5" s="6" t="s">
        <v>4</v>
      </c>
      <c r="D5" s="6" t="s">
        <v>3</v>
      </c>
      <c r="E5" s="6" t="s">
        <v>4</v>
      </c>
      <c r="F5" s="6" t="s">
        <v>40</v>
      </c>
      <c r="G5" s="7" t="s">
        <v>3</v>
      </c>
      <c r="H5" s="7" t="s">
        <v>4</v>
      </c>
      <c r="I5" s="7" t="s">
        <v>3</v>
      </c>
      <c r="J5" s="7" t="s">
        <v>4</v>
      </c>
      <c r="K5" s="7" t="s">
        <v>3</v>
      </c>
      <c r="L5" s="7" t="s">
        <v>4</v>
      </c>
      <c r="M5" s="7" t="s">
        <v>3</v>
      </c>
      <c r="N5" s="7" t="s">
        <v>4</v>
      </c>
      <c r="O5" s="7" t="s">
        <v>3</v>
      </c>
      <c r="P5" s="7" t="s">
        <v>4</v>
      </c>
      <c r="Q5" s="7" t="s">
        <v>40</v>
      </c>
      <c r="R5" s="7" t="s">
        <v>3</v>
      </c>
      <c r="S5" s="7" t="s">
        <v>4</v>
      </c>
      <c r="T5" s="7" t="s">
        <v>3</v>
      </c>
      <c r="U5" s="7" t="s">
        <v>4</v>
      </c>
      <c r="V5" s="7" t="s">
        <v>4</v>
      </c>
      <c r="W5" s="7" t="s">
        <v>40</v>
      </c>
      <c r="X5" s="7" t="s">
        <v>3</v>
      </c>
      <c r="Y5" s="7" t="s">
        <v>4</v>
      </c>
      <c r="Z5" s="7" t="s">
        <v>4</v>
      </c>
      <c r="AA5" s="7" t="s">
        <v>4</v>
      </c>
      <c r="AB5" s="7" t="s">
        <v>40</v>
      </c>
      <c r="AC5" s="8" t="s">
        <v>4</v>
      </c>
      <c r="AD5" s="8" t="s">
        <v>4</v>
      </c>
      <c r="AE5" s="8" t="s">
        <v>40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40</v>
      </c>
      <c r="AO5" s="8" t="s">
        <v>4</v>
      </c>
      <c r="AP5" s="9" t="s">
        <v>4</v>
      </c>
      <c r="AQ5" s="9" t="s">
        <v>4</v>
      </c>
      <c r="AR5" s="9" t="s">
        <v>4</v>
      </c>
      <c r="AS5" s="9" t="s">
        <v>4</v>
      </c>
      <c r="AT5" s="9" t="s">
        <v>40</v>
      </c>
      <c r="AU5" s="15" t="s">
        <v>3</v>
      </c>
      <c r="AV5" s="13" t="s">
        <v>40</v>
      </c>
    </row>
    <row r="6" spans="1:48" x14ac:dyDescent="0.25">
      <c r="A6" s="35" t="s">
        <v>54</v>
      </c>
      <c r="B6" s="16">
        <v>0</v>
      </c>
      <c r="C6" s="17">
        <f>B6*8</f>
        <v>0</v>
      </c>
      <c r="D6" s="13">
        <v>3</v>
      </c>
      <c r="E6" s="13">
        <f>D6*2.5</f>
        <v>7.5</v>
      </c>
      <c r="F6" s="18">
        <f>SUM(C6,E6)</f>
        <v>7.5</v>
      </c>
      <c r="G6" s="17">
        <v>3</v>
      </c>
      <c r="H6" s="17">
        <v>8</v>
      </c>
      <c r="I6" s="13">
        <v>3</v>
      </c>
      <c r="J6" s="13">
        <v>7</v>
      </c>
      <c r="K6" s="17"/>
      <c r="L6" s="17"/>
      <c r="M6" s="13"/>
      <c r="N6" s="13"/>
      <c r="O6" s="17"/>
      <c r="P6" s="17"/>
      <c r="Q6" s="20">
        <f>SUM(H6,J6,L6,N6,P6)</f>
        <v>15</v>
      </c>
      <c r="R6" s="13"/>
      <c r="S6" s="13"/>
      <c r="T6" s="17"/>
      <c r="U6" s="17"/>
      <c r="V6" s="13"/>
      <c r="W6" s="20">
        <f t="shared" ref="W6:W10" si="0">SUM(S6,U6,V6)</f>
        <v>0</v>
      </c>
      <c r="X6" s="17">
        <v>1</v>
      </c>
      <c r="Y6" s="17">
        <v>2</v>
      </c>
      <c r="Z6" s="13">
        <v>2</v>
      </c>
      <c r="AA6" s="17"/>
      <c r="AB6" s="20">
        <f t="shared" ref="AB6:AB10" si="1">SUM(Y6,Z6,AA6)</f>
        <v>4</v>
      </c>
      <c r="AC6" s="32"/>
      <c r="AD6" s="17"/>
      <c r="AE6" s="8">
        <f>SUM(AC6:AD6)</f>
        <v>0</v>
      </c>
      <c r="AF6" s="13"/>
      <c r="AG6" s="17"/>
      <c r="AH6" s="13"/>
      <c r="AI6" s="17"/>
      <c r="AJ6" s="13"/>
      <c r="AK6" s="17"/>
      <c r="AL6" s="13"/>
      <c r="AM6" s="17">
        <v>7.5</v>
      </c>
      <c r="AN6" s="24">
        <f>SUM(AF6:AM6)</f>
        <v>7.5</v>
      </c>
      <c r="AO6" s="8">
        <v>7</v>
      </c>
      <c r="AP6" s="17"/>
      <c r="AQ6" s="13"/>
      <c r="AR6" s="17">
        <v>3</v>
      </c>
      <c r="AS6" s="13"/>
      <c r="AT6" s="22">
        <f>SUM(AP6:AS6)</f>
        <v>3</v>
      </c>
      <c r="AU6" s="13">
        <v>2</v>
      </c>
      <c r="AV6" s="13">
        <f t="shared" ref="AV6:AV10" si="2">SUM(F6,Q6,W6,AB6,AE6,AN6,AO6,AT6)</f>
        <v>44</v>
      </c>
    </row>
    <row r="7" spans="1:48" x14ac:dyDescent="0.25">
      <c r="A7" s="35" t="s">
        <v>55</v>
      </c>
      <c r="B7" s="16">
        <v>0</v>
      </c>
      <c r="C7" s="17">
        <f t="shared" ref="C7:C10" si="3">B7*8</f>
        <v>0</v>
      </c>
      <c r="D7" s="13">
        <v>3</v>
      </c>
      <c r="E7" s="13">
        <f t="shared" ref="E7:E10" si="4">D7*2.5</f>
        <v>7.5</v>
      </c>
      <c r="F7" s="18">
        <f t="shared" ref="F7:F10" si="5">SUM(C7,E7)</f>
        <v>7.5</v>
      </c>
      <c r="G7" s="17">
        <v>2</v>
      </c>
      <c r="H7" s="17">
        <v>3</v>
      </c>
      <c r="I7" s="13">
        <v>1</v>
      </c>
      <c r="J7" s="13">
        <v>3</v>
      </c>
      <c r="K7" s="17">
        <v>3</v>
      </c>
      <c r="L7" s="17">
        <v>4</v>
      </c>
      <c r="M7" s="13">
        <v>2</v>
      </c>
      <c r="N7" s="13">
        <v>5</v>
      </c>
      <c r="O7" s="17">
        <v>2</v>
      </c>
      <c r="P7" s="17">
        <v>3</v>
      </c>
      <c r="Q7" s="20">
        <f t="shared" ref="Q7:Q10" si="6">SUM(H7,J7,L7,N7,P7)</f>
        <v>18</v>
      </c>
      <c r="R7" s="13"/>
      <c r="S7" s="13"/>
      <c r="T7" s="17"/>
      <c r="U7" s="17"/>
      <c r="V7" s="13"/>
      <c r="W7" s="20">
        <f t="shared" si="0"/>
        <v>0</v>
      </c>
      <c r="X7" s="17">
        <v>1</v>
      </c>
      <c r="Y7" s="17">
        <v>2</v>
      </c>
      <c r="Z7" s="13">
        <v>2</v>
      </c>
      <c r="AA7" s="17"/>
      <c r="AB7" s="20">
        <f t="shared" si="1"/>
        <v>4</v>
      </c>
      <c r="AC7" s="32"/>
      <c r="AD7" s="17"/>
      <c r="AE7" s="8">
        <f t="shared" ref="AE7:AE10" si="7">SUM(AC7:AD7)</f>
        <v>0</v>
      </c>
      <c r="AF7" s="13">
        <v>40</v>
      </c>
      <c r="AG7" s="17"/>
      <c r="AH7" s="13"/>
      <c r="AI7" s="17"/>
      <c r="AJ7" s="13"/>
      <c r="AK7" s="17"/>
      <c r="AL7" s="13"/>
      <c r="AM7" s="17"/>
      <c r="AN7" s="24">
        <f t="shared" ref="AN7:AN10" si="8">SUM(AF7:AM7)</f>
        <v>40</v>
      </c>
      <c r="AO7" s="8">
        <v>7</v>
      </c>
      <c r="AP7" s="17"/>
      <c r="AQ7" s="13"/>
      <c r="AR7" s="17"/>
      <c r="AS7" s="13"/>
      <c r="AT7" s="22">
        <f t="shared" ref="AT7:AT10" si="9">SUM(AP7:AS7)</f>
        <v>0</v>
      </c>
      <c r="AU7" s="13">
        <v>2</v>
      </c>
      <c r="AV7" s="13">
        <f t="shared" si="2"/>
        <v>76.5</v>
      </c>
    </row>
    <row r="8" spans="1:48" x14ac:dyDescent="0.25">
      <c r="A8" s="35" t="s">
        <v>56</v>
      </c>
      <c r="B8" s="16">
        <v>0</v>
      </c>
      <c r="C8" s="17">
        <f t="shared" si="3"/>
        <v>0</v>
      </c>
      <c r="D8" s="13">
        <v>1</v>
      </c>
      <c r="E8" s="13">
        <f t="shared" si="4"/>
        <v>2.5</v>
      </c>
      <c r="F8" s="18">
        <f t="shared" si="5"/>
        <v>2.5</v>
      </c>
      <c r="G8" s="17">
        <v>1</v>
      </c>
      <c r="H8" s="17">
        <v>2</v>
      </c>
      <c r="I8" s="13">
        <v>2</v>
      </c>
      <c r="J8" s="13">
        <v>5</v>
      </c>
      <c r="K8" s="17">
        <v>1</v>
      </c>
      <c r="L8" s="17">
        <v>1</v>
      </c>
      <c r="M8" s="13">
        <v>1</v>
      </c>
      <c r="N8" s="13">
        <v>2.5</v>
      </c>
      <c r="O8" s="17">
        <v>1</v>
      </c>
      <c r="P8" s="17">
        <v>1.5</v>
      </c>
      <c r="Q8" s="20">
        <f t="shared" si="6"/>
        <v>12</v>
      </c>
      <c r="R8" s="13">
        <v>1</v>
      </c>
      <c r="S8" s="13">
        <v>3</v>
      </c>
      <c r="T8" s="17">
        <v>1</v>
      </c>
      <c r="U8" s="17">
        <v>2</v>
      </c>
      <c r="V8" s="13">
        <v>3</v>
      </c>
      <c r="W8" s="20">
        <f t="shared" si="0"/>
        <v>8</v>
      </c>
      <c r="X8" s="17">
        <v>1</v>
      </c>
      <c r="Y8" s="17">
        <v>2</v>
      </c>
      <c r="Z8" s="13">
        <v>2</v>
      </c>
      <c r="AA8" s="17">
        <v>2</v>
      </c>
      <c r="AB8" s="20">
        <f t="shared" si="1"/>
        <v>6</v>
      </c>
      <c r="AC8" s="32"/>
      <c r="AD8" s="17"/>
      <c r="AE8" s="8">
        <f t="shared" si="7"/>
        <v>0</v>
      </c>
      <c r="AF8" s="13"/>
      <c r="AG8" s="17"/>
      <c r="AH8" s="13"/>
      <c r="AI8" s="17"/>
      <c r="AJ8" s="13"/>
      <c r="AK8" s="17"/>
      <c r="AL8" s="13"/>
      <c r="AM8" s="17"/>
      <c r="AN8" s="24">
        <f t="shared" si="8"/>
        <v>0</v>
      </c>
      <c r="AO8" s="8">
        <v>14</v>
      </c>
      <c r="AP8" s="17"/>
      <c r="AQ8" s="13"/>
      <c r="AR8" s="17"/>
      <c r="AS8" s="13"/>
      <c r="AT8" s="22">
        <f t="shared" si="9"/>
        <v>0</v>
      </c>
      <c r="AU8" s="13">
        <v>2</v>
      </c>
      <c r="AV8" s="13">
        <f t="shared" si="2"/>
        <v>42.5</v>
      </c>
    </row>
    <row r="9" spans="1:48" x14ac:dyDescent="0.25">
      <c r="A9" s="35" t="s">
        <v>57</v>
      </c>
      <c r="B9" s="16">
        <v>0</v>
      </c>
      <c r="C9" s="17">
        <f t="shared" si="3"/>
        <v>0</v>
      </c>
      <c r="D9" s="13">
        <v>1</v>
      </c>
      <c r="E9" s="13">
        <f t="shared" si="4"/>
        <v>2.5</v>
      </c>
      <c r="F9" s="18">
        <f t="shared" si="5"/>
        <v>2.5</v>
      </c>
      <c r="G9" s="17">
        <v>1</v>
      </c>
      <c r="H9" s="17">
        <v>3</v>
      </c>
      <c r="I9" s="13"/>
      <c r="J9" s="13"/>
      <c r="K9" s="17"/>
      <c r="L9" s="17"/>
      <c r="M9" s="13">
        <v>2</v>
      </c>
      <c r="N9" s="13">
        <v>5</v>
      </c>
      <c r="O9" s="17">
        <v>2</v>
      </c>
      <c r="P9" s="17">
        <v>3</v>
      </c>
      <c r="Q9" s="20">
        <f t="shared" si="6"/>
        <v>11</v>
      </c>
      <c r="R9" s="13"/>
      <c r="S9" s="13"/>
      <c r="T9" s="17"/>
      <c r="U9" s="17"/>
      <c r="V9" s="13"/>
      <c r="W9" s="20">
        <f t="shared" si="0"/>
        <v>0</v>
      </c>
      <c r="X9" s="17"/>
      <c r="Y9" s="17"/>
      <c r="Z9" s="13"/>
      <c r="AA9" s="17">
        <v>1</v>
      </c>
      <c r="AB9" s="20">
        <f t="shared" si="1"/>
        <v>1</v>
      </c>
      <c r="AC9" s="32">
        <v>30</v>
      </c>
      <c r="AD9" s="17"/>
      <c r="AE9" s="8">
        <f t="shared" si="7"/>
        <v>30</v>
      </c>
      <c r="AF9" s="13"/>
      <c r="AG9" s="17"/>
      <c r="AH9" s="13"/>
      <c r="AI9" s="17"/>
      <c r="AJ9" s="13"/>
      <c r="AK9" s="17"/>
      <c r="AL9" s="13"/>
      <c r="AM9" s="17">
        <v>12.5</v>
      </c>
      <c r="AN9" s="24">
        <f t="shared" si="8"/>
        <v>12.5</v>
      </c>
      <c r="AO9" s="8">
        <v>14</v>
      </c>
      <c r="AP9" s="17"/>
      <c r="AQ9" s="13"/>
      <c r="AR9" s="17"/>
      <c r="AS9" s="13"/>
      <c r="AT9" s="22">
        <f t="shared" si="9"/>
        <v>0</v>
      </c>
      <c r="AU9" s="13">
        <v>2</v>
      </c>
      <c r="AV9" s="13">
        <f t="shared" si="2"/>
        <v>71</v>
      </c>
    </row>
    <row r="10" spans="1:48" x14ac:dyDescent="0.25">
      <c r="A10" s="35" t="s">
        <v>58</v>
      </c>
      <c r="B10" s="16">
        <v>0</v>
      </c>
      <c r="C10" s="17">
        <f t="shared" si="3"/>
        <v>0</v>
      </c>
      <c r="D10" s="13">
        <v>1</v>
      </c>
      <c r="E10" s="13">
        <f t="shared" si="4"/>
        <v>2.5</v>
      </c>
      <c r="F10" s="18">
        <f t="shared" si="5"/>
        <v>2.5</v>
      </c>
      <c r="G10" s="17">
        <v>1</v>
      </c>
      <c r="H10" s="17">
        <v>1</v>
      </c>
      <c r="I10" s="13">
        <v>3</v>
      </c>
      <c r="J10" s="13">
        <v>8</v>
      </c>
      <c r="K10" s="17">
        <v>2</v>
      </c>
      <c r="L10" s="17">
        <v>2</v>
      </c>
      <c r="M10" s="13">
        <v>2</v>
      </c>
      <c r="N10" s="13">
        <v>5</v>
      </c>
      <c r="O10" s="17">
        <v>2</v>
      </c>
      <c r="P10" s="17">
        <v>3</v>
      </c>
      <c r="Q10" s="20">
        <f t="shared" si="6"/>
        <v>19</v>
      </c>
      <c r="R10" s="13">
        <v>4</v>
      </c>
      <c r="S10" s="13">
        <v>12</v>
      </c>
      <c r="T10" s="17">
        <v>4</v>
      </c>
      <c r="U10" s="17">
        <v>8</v>
      </c>
      <c r="V10" s="13"/>
      <c r="W10" s="20">
        <f t="shared" si="0"/>
        <v>20</v>
      </c>
      <c r="X10" s="17">
        <v>1</v>
      </c>
      <c r="Y10" s="17">
        <v>2</v>
      </c>
      <c r="Z10" s="13">
        <v>2</v>
      </c>
      <c r="AA10" s="17">
        <v>1</v>
      </c>
      <c r="AB10" s="20">
        <f t="shared" si="1"/>
        <v>5</v>
      </c>
      <c r="AC10" s="32"/>
      <c r="AD10" s="17"/>
      <c r="AE10" s="8">
        <f t="shared" si="7"/>
        <v>0</v>
      </c>
      <c r="AF10" s="13"/>
      <c r="AG10" s="17"/>
      <c r="AH10" s="13"/>
      <c r="AI10" s="17"/>
      <c r="AJ10" s="13"/>
      <c r="AK10" s="17"/>
      <c r="AL10" s="13"/>
      <c r="AM10" s="17">
        <v>5</v>
      </c>
      <c r="AN10" s="24">
        <f t="shared" si="8"/>
        <v>5</v>
      </c>
      <c r="AO10" s="8">
        <v>7</v>
      </c>
      <c r="AP10" s="17"/>
      <c r="AQ10" s="13"/>
      <c r="AR10" s="17"/>
      <c r="AS10" s="13"/>
      <c r="AT10" s="22">
        <f t="shared" si="9"/>
        <v>0</v>
      </c>
      <c r="AU10" s="13">
        <v>2</v>
      </c>
      <c r="AV10" s="13">
        <f t="shared" si="2"/>
        <v>58.5</v>
      </c>
    </row>
    <row r="11" spans="1:48" x14ac:dyDescent="0.25">
      <c r="D11" s="36"/>
    </row>
  </sheetData>
  <mergeCells count="19">
    <mergeCell ref="B2:E3"/>
    <mergeCell ref="AU2:AU3"/>
    <mergeCell ref="B4:C4"/>
    <mergeCell ref="D4:E4"/>
    <mergeCell ref="G4:H4"/>
    <mergeCell ref="I4:J4"/>
    <mergeCell ref="K4:L4"/>
    <mergeCell ref="G2:P3"/>
    <mergeCell ref="R2:V3"/>
    <mergeCell ref="X2:AA3"/>
    <mergeCell ref="AP2:AS3"/>
    <mergeCell ref="AC3:AD3"/>
    <mergeCell ref="AF3:AM3"/>
    <mergeCell ref="AC2:AO2"/>
    <mergeCell ref="R4:S4"/>
    <mergeCell ref="T4:U4"/>
    <mergeCell ref="X4:Y4"/>
    <mergeCell ref="M4:N4"/>
    <mergeCell ref="O4:P4"/>
  </mergeCells>
  <conditionalFormatting sqref="AU6:AU10">
    <cfRule type="cellIs" dxfId="23" priority="1" operator="lessThan">
      <formula>2</formula>
    </cfRule>
  </conditionalFormatting>
  <conditionalFormatting sqref="AV6:AV10">
    <cfRule type="cellIs" dxfId="22" priority="4" operator="lessThan">
      <formula>69</formula>
    </cfRule>
  </conditionalFormatting>
  <pageMargins left="0.7" right="0.7" top="0.78740157499999996" bottom="0.78740157499999996" header="0.3" footer="0.3"/>
  <pageSetup paperSize="9"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B8F3-6859-4DB3-BE95-3D6FF744211B}">
  <dimension ref="A1:AU1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0" sqref="A6:A10"/>
    </sheetView>
  </sheetViews>
  <sheetFormatPr baseColWidth="10" defaultRowHeight="15" x14ac:dyDescent="0.25"/>
  <cols>
    <col min="1" max="1" width="13.7109375" bestFit="1" customWidth="1"/>
  </cols>
  <sheetData>
    <row r="1" spans="1:47" x14ac:dyDescent="0.25">
      <c r="AS1" s="14"/>
      <c r="AT1" s="30"/>
    </row>
    <row r="2" spans="1:47" x14ac:dyDescent="0.25">
      <c r="A2" s="1"/>
      <c r="B2" s="52" t="s">
        <v>11</v>
      </c>
      <c r="C2" s="53"/>
      <c r="D2" s="53"/>
      <c r="E2" s="54"/>
      <c r="F2" s="38"/>
      <c r="G2" s="58" t="s">
        <v>10</v>
      </c>
      <c r="H2" s="59"/>
      <c r="I2" s="59"/>
      <c r="J2" s="59"/>
      <c r="K2" s="59"/>
      <c r="L2" s="59"/>
      <c r="M2" s="59"/>
      <c r="N2" s="59"/>
      <c r="O2" s="59"/>
      <c r="P2" s="60"/>
      <c r="Q2" s="40"/>
      <c r="R2" s="58" t="s">
        <v>15</v>
      </c>
      <c r="S2" s="59"/>
      <c r="T2" s="59"/>
      <c r="U2" s="59"/>
      <c r="V2" s="60"/>
      <c r="W2" s="40"/>
      <c r="X2" s="58" t="s">
        <v>19</v>
      </c>
      <c r="Y2" s="59"/>
      <c r="Z2" s="59"/>
      <c r="AA2" s="60"/>
      <c r="AB2" s="40"/>
      <c r="AC2" s="70" t="s">
        <v>34</v>
      </c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73" t="s">
        <v>37</v>
      </c>
      <c r="AQ2" s="74"/>
      <c r="AR2" s="74"/>
      <c r="AS2" s="75"/>
      <c r="AT2" s="42"/>
      <c r="AU2" s="1"/>
    </row>
    <row r="3" spans="1:47" x14ac:dyDescent="0.25">
      <c r="A3" s="2"/>
      <c r="B3" s="55"/>
      <c r="C3" s="56"/>
      <c r="D3" s="56"/>
      <c r="E3" s="57"/>
      <c r="F3" s="39"/>
      <c r="G3" s="61"/>
      <c r="H3" s="62"/>
      <c r="I3" s="62"/>
      <c r="J3" s="62"/>
      <c r="K3" s="62"/>
      <c r="L3" s="62"/>
      <c r="M3" s="62"/>
      <c r="N3" s="62"/>
      <c r="O3" s="62"/>
      <c r="P3" s="63"/>
      <c r="Q3" s="41"/>
      <c r="R3" s="61"/>
      <c r="S3" s="62"/>
      <c r="T3" s="62"/>
      <c r="U3" s="62"/>
      <c r="V3" s="63"/>
      <c r="W3" s="41"/>
      <c r="X3" s="61"/>
      <c r="Y3" s="62"/>
      <c r="Z3" s="62"/>
      <c r="AA3" s="63"/>
      <c r="AB3" s="41"/>
      <c r="AC3" s="67" t="s">
        <v>35</v>
      </c>
      <c r="AD3" s="68"/>
      <c r="AE3" s="45"/>
      <c r="AF3" s="67" t="s">
        <v>36</v>
      </c>
      <c r="AG3" s="69"/>
      <c r="AH3" s="69"/>
      <c r="AI3" s="69"/>
      <c r="AJ3" s="69"/>
      <c r="AK3" s="69"/>
      <c r="AL3" s="69"/>
      <c r="AM3" s="68"/>
      <c r="AN3" s="44"/>
      <c r="AO3" s="8" t="s">
        <v>38</v>
      </c>
      <c r="AP3" s="76"/>
      <c r="AQ3" s="77"/>
      <c r="AR3" s="77"/>
      <c r="AS3" s="78"/>
      <c r="AT3" s="43"/>
      <c r="AU3" s="2"/>
    </row>
    <row r="4" spans="1:47" ht="130.5" x14ac:dyDescent="0.25">
      <c r="A4" s="11" t="s">
        <v>53</v>
      </c>
      <c r="B4" s="64" t="s">
        <v>1</v>
      </c>
      <c r="C4" s="64"/>
      <c r="D4" s="64" t="s">
        <v>2</v>
      </c>
      <c r="E4" s="64"/>
      <c r="F4" s="27" t="s">
        <v>11</v>
      </c>
      <c r="G4" s="50" t="s">
        <v>5</v>
      </c>
      <c r="H4" s="51"/>
      <c r="I4" s="50" t="s">
        <v>6</v>
      </c>
      <c r="J4" s="51"/>
      <c r="K4" s="50" t="s">
        <v>7</v>
      </c>
      <c r="L4" s="51"/>
      <c r="M4" s="50" t="s">
        <v>8</v>
      </c>
      <c r="N4" s="51"/>
      <c r="O4" s="50" t="s">
        <v>9</v>
      </c>
      <c r="P4" s="51"/>
      <c r="Q4" s="28" t="s">
        <v>41</v>
      </c>
      <c r="R4" s="50" t="s">
        <v>12</v>
      </c>
      <c r="S4" s="51"/>
      <c r="T4" s="50" t="s">
        <v>13</v>
      </c>
      <c r="U4" s="51"/>
      <c r="V4" s="37" t="s">
        <v>14</v>
      </c>
      <c r="W4" s="28" t="s">
        <v>15</v>
      </c>
      <c r="X4" s="50" t="s">
        <v>16</v>
      </c>
      <c r="Y4" s="51"/>
      <c r="Z4" s="37" t="s">
        <v>17</v>
      </c>
      <c r="AA4" s="37" t="s">
        <v>18</v>
      </c>
      <c r="AB4" s="29" t="s">
        <v>19</v>
      </c>
      <c r="AC4" s="3" t="s">
        <v>20</v>
      </c>
      <c r="AD4" s="3" t="s">
        <v>21</v>
      </c>
      <c r="AE4" s="3" t="s">
        <v>35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36</v>
      </c>
      <c r="AO4" s="3" t="s">
        <v>30</v>
      </c>
      <c r="AP4" s="4" t="s">
        <v>31</v>
      </c>
      <c r="AQ4" s="4" t="s">
        <v>32</v>
      </c>
      <c r="AR4" s="4" t="s">
        <v>43</v>
      </c>
      <c r="AS4" s="4" t="s">
        <v>33</v>
      </c>
      <c r="AT4" s="4" t="s">
        <v>42</v>
      </c>
      <c r="AU4" s="12" t="s">
        <v>53</v>
      </c>
    </row>
    <row r="5" spans="1:47" x14ac:dyDescent="0.25">
      <c r="A5" s="5" t="s">
        <v>0</v>
      </c>
      <c r="B5" s="6" t="s">
        <v>3</v>
      </c>
      <c r="C5" s="6" t="s">
        <v>4</v>
      </c>
      <c r="D5" s="6" t="s">
        <v>3</v>
      </c>
      <c r="E5" s="6" t="s">
        <v>4</v>
      </c>
      <c r="F5" s="6" t="s">
        <v>40</v>
      </c>
      <c r="G5" s="7" t="s">
        <v>3</v>
      </c>
      <c r="H5" s="7" t="s">
        <v>4</v>
      </c>
      <c r="I5" s="7" t="s">
        <v>3</v>
      </c>
      <c r="J5" s="7" t="s">
        <v>4</v>
      </c>
      <c r="K5" s="7" t="s">
        <v>3</v>
      </c>
      <c r="L5" s="7" t="s">
        <v>4</v>
      </c>
      <c r="M5" s="7" t="s">
        <v>3</v>
      </c>
      <c r="N5" s="7" t="s">
        <v>4</v>
      </c>
      <c r="O5" s="7" t="s">
        <v>3</v>
      </c>
      <c r="P5" s="7" t="s">
        <v>4</v>
      </c>
      <c r="Q5" s="7" t="s">
        <v>40</v>
      </c>
      <c r="R5" s="7" t="s">
        <v>3</v>
      </c>
      <c r="S5" s="7" t="s">
        <v>4</v>
      </c>
      <c r="T5" s="7" t="s">
        <v>3</v>
      </c>
      <c r="U5" s="7" t="s">
        <v>4</v>
      </c>
      <c r="V5" s="7" t="s">
        <v>4</v>
      </c>
      <c r="W5" s="7" t="s">
        <v>40</v>
      </c>
      <c r="X5" s="7" t="s">
        <v>3</v>
      </c>
      <c r="Y5" s="7" t="s">
        <v>4</v>
      </c>
      <c r="Z5" s="7" t="s">
        <v>4</v>
      </c>
      <c r="AA5" s="7" t="s">
        <v>4</v>
      </c>
      <c r="AB5" s="7" t="s">
        <v>40</v>
      </c>
      <c r="AC5" s="8" t="s">
        <v>4</v>
      </c>
      <c r="AD5" s="8" t="s">
        <v>4</v>
      </c>
      <c r="AE5" s="8" t="s">
        <v>40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40</v>
      </c>
      <c r="AO5" s="8" t="s">
        <v>4</v>
      </c>
      <c r="AP5" s="9" t="s">
        <v>4</v>
      </c>
      <c r="AQ5" s="9" t="s">
        <v>4</v>
      </c>
      <c r="AR5" s="9" t="s">
        <v>4</v>
      </c>
      <c r="AS5" s="9" t="s">
        <v>4</v>
      </c>
      <c r="AT5" s="9" t="s">
        <v>40</v>
      </c>
      <c r="AU5" s="13" t="s">
        <v>40</v>
      </c>
    </row>
    <row r="6" spans="1:47" x14ac:dyDescent="0.25">
      <c r="A6" s="35" t="s">
        <v>54</v>
      </c>
      <c r="B6" s="16">
        <f>SUM('IK I:IK IV'!B6)</f>
        <v>2</v>
      </c>
      <c r="C6" s="17">
        <f>B6*8</f>
        <v>16</v>
      </c>
      <c r="D6" s="13">
        <f>SUM('IK I:IK IV'!D6)</f>
        <v>7</v>
      </c>
      <c r="E6" s="13">
        <f>D6*2.5</f>
        <v>17.5</v>
      </c>
      <c r="F6" s="38">
        <f>SUM(C6,E6)</f>
        <v>33.5</v>
      </c>
      <c r="G6" s="17">
        <f>SUM('IK I:IK IV'!G6)</f>
        <v>13</v>
      </c>
      <c r="H6" s="17">
        <f>SUM('IK I:IK IV'!H6)</f>
        <v>31</v>
      </c>
      <c r="I6" s="13">
        <f>SUM('IK I:IK IV'!I6)</f>
        <v>4</v>
      </c>
      <c r="J6" s="13">
        <f>SUM('IK I:IK IV'!J6)</f>
        <v>10</v>
      </c>
      <c r="K6" s="17">
        <f>SUM('IK I:IK IV'!K6)</f>
        <v>2</v>
      </c>
      <c r="L6" s="17">
        <f>SUM('IK I:IK IV'!L6)</f>
        <v>2</v>
      </c>
      <c r="M6" s="13">
        <f>SUM('IK I:IK IV'!M6)</f>
        <v>5</v>
      </c>
      <c r="N6" s="13">
        <f>SUM('IK I:IK IV'!N6)</f>
        <v>13.5</v>
      </c>
      <c r="O6" s="17">
        <f>SUM('IK I:IK IV'!O6)</f>
        <v>4</v>
      </c>
      <c r="P6" s="17">
        <f>SUM('IK I:IK IV'!P6)</f>
        <v>6</v>
      </c>
      <c r="Q6" s="40">
        <f>SUM(H6,J6,L6,N6,P6)</f>
        <v>62.5</v>
      </c>
      <c r="R6" s="13">
        <f>SUM('IK I:IK IV'!R6)</f>
        <v>7</v>
      </c>
      <c r="S6" s="13">
        <f>SUM('IK I:IK IV'!S6)</f>
        <v>21</v>
      </c>
      <c r="T6" s="17">
        <f>SUM('IK I:IK IV'!T6)</f>
        <v>7</v>
      </c>
      <c r="U6" s="17">
        <f>SUM('IK I:IK IV'!U6)</f>
        <v>14</v>
      </c>
      <c r="V6" s="13">
        <f>SUM('IK I:IK IV'!V6)</f>
        <v>3</v>
      </c>
      <c r="W6" s="40">
        <f t="shared" ref="W6:W10" si="0">SUM(S6,U6,V6)</f>
        <v>38</v>
      </c>
      <c r="X6" s="17">
        <f>SUM('IK I:IK IV'!X6)</f>
        <v>3</v>
      </c>
      <c r="Y6" s="17">
        <f>SUM('IK I:IK IV'!Y6)</f>
        <v>6</v>
      </c>
      <c r="Z6" s="13">
        <f>SUM('IK I:IK IV'!Z6)</f>
        <v>6</v>
      </c>
      <c r="AA6" s="17">
        <f>SUM('IK I:IK IV'!AA6)</f>
        <v>4</v>
      </c>
      <c r="AB6" s="40">
        <f t="shared" ref="AB6:AB10" si="1">SUM(Y6,Z6,AA6)</f>
        <v>16</v>
      </c>
      <c r="AC6" s="32">
        <f>SUM('IK I:IK IV'!AC6)</f>
        <v>61</v>
      </c>
      <c r="AD6" s="17">
        <f>SUM('IK I:IK IV'!AD6)</f>
        <v>0</v>
      </c>
      <c r="AE6" s="8">
        <f>SUM('IK I:IK IV'!AE6)</f>
        <v>76</v>
      </c>
      <c r="AF6" s="13">
        <f>SUM('IK I:IK IV'!AF6)</f>
        <v>20</v>
      </c>
      <c r="AG6" s="17">
        <f>SUM('IK I:IK IV'!AG6)</f>
        <v>20</v>
      </c>
      <c r="AH6" s="13">
        <f>SUM('IK I:IK IV'!AH6)</f>
        <v>0</v>
      </c>
      <c r="AI6" s="17">
        <f>SUM('IK I:IK IV'!AI6)</f>
        <v>0</v>
      </c>
      <c r="AJ6" s="13">
        <f>SUM('IK I:IK IV'!AJ6)</f>
        <v>0</v>
      </c>
      <c r="AK6" s="17">
        <f>SUM('IK I:IK IV'!AK6)</f>
        <v>0</v>
      </c>
      <c r="AL6" s="13">
        <f>SUM('IK I:IK IV'!AL6)</f>
        <v>0</v>
      </c>
      <c r="AM6" s="17">
        <f>SUM('IK I:IK IV'!AM6)</f>
        <v>15</v>
      </c>
      <c r="AN6" s="44">
        <f>SUM('IK I:IK IV'!AN6)</f>
        <v>55</v>
      </c>
      <c r="AO6" s="8">
        <f>SUM('IK I:IK IV'!AO6)</f>
        <v>14</v>
      </c>
      <c r="AP6" s="17">
        <f>SUM('IK I:IK IV'!AP6)</f>
        <v>0</v>
      </c>
      <c r="AQ6" s="13">
        <f>SUM('IK I:IK IV'!AQ6)</f>
        <v>0</v>
      </c>
      <c r="AR6" s="17">
        <f>SUM('IK I:IK IV'!AR6)</f>
        <v>30</v>
      </c>
      <c r="AS6" s="13">
        <f>SUM('IK I:IK IV'!AS6)</f>
        <v>3</v>
      </c>
      <c r="AT6" s="42">
        <f>SUM(AP6:AS6)</f>
        <v>33</v>
      </c>
      <c r="AU6" s="13">
        <f t="shared" ref="AU6:AU10" si="2">SUM(F6,Q6,W6,AB6,AE6,AN6,AO6,AT6)</f>
        <v>328</v>
      </c>
    </row>
    <row r="7" spans="1:47" x14ac:dyDescent="0.25">
      <c r="A7" s="35" t="s">
        <v>55</v>
      </c>
      <c r="B7" s="16">
        <f>SUM('IK I:IK IV'!B7)</f>
        <v>3</v>
      </c>
      <c r="C7" s="17">
        <f t="shared" ref="C7:C10" si="3">B7*8</f>
        <v>24</v>
      </c>
      <c r="D7" s="13">
        <f>SUM('IK I:IK IV'!D7)</f>
        <v>5</v>
      </c>
      <c r="E7" s="13">
        <f t="shared" ref="E7:E10" si="4">D7*2.5</f>
        <v>12.5</v>
      </c>
      <c r="F7" s="38">
        <f t="shared" ref="F7:F10" si="5">SUM(C7,E7)</f>
        <v>36.5</v>
      </c>
      <c r="G7" s="17">
        <f>SUM('IK I:IK IV'!G7)</f>
        <v>8</v>
      </c>
      <c r="H7" s="17">
        <f>SUM('IK I:IK IV'!H7)</f>
        <v>15</v>
      </c>
      <c r="I7" s="13">
        <f>SUM('IK I:IK IV'!I7)</f>
        <v>3</v>
      </c>
      <c r="J7" s="13">
        <f>SUM('IK I:IK IV'!J7)</f>
        <v>7</v>
      </c>
      <c r="K7" s="17">
        <f>SUM('IK I:IK IV'!K7)</f>
        <v>3</v>
      </c>
      <c r="L7" s="17">
        <f>SUM('IK I:IK IV'!L7)</f>
        <v>4</v>
      </c>
      <c r="M7" s="13">
        <f>SUM('IK I:IK IV'!M7)</f>
        <v>5</v>
      </c>
      <c r="N7" s="13">
        <f>SUM('IK I:IK IV'!N7)</f>
        <v>12.5</v>
      </c>
      <c r="O7" s="17">
        <f>SUM('IK I:IK IV'!O7)</f>
        <v>4</v>
      </c>
      <c r="P7" s="17">
        <f>SUM('IK I:IK IV'!P7)</f>
        <v>6</v>
      </c>
      <c r="Q7" s="40">
        <f t="shared" ref="Q7:Q10" si="6">SUM(H7,J7,L7,N7,P7)</f>
        <v>44.5</v>
      </c>
      <c r="R7" s="13">
        <f>SUM('IK I:IK IV'!R7)</f>
        <v>5</v>
      </c>
      <c r="S7" s="13">
        <f>SUM('IK I:IK IV'!S7)</f>
        <v>15</v>
      </c>
      <c r="T7" s="17">
        <f>SUM('IK I:IK IV'!T7)</f>
        <v>5</v>
      </c>
      <c r="U7" s="17">
        <f>SUM('IK I:IK IV'!U7)</f>
        <v>10</v>
      </c>
      <c r="V7" s="13">
        <f>SUM('IK I:IK IV'!V7)</f>
        <v>0</v>
      </c>
      <c r="W7" s="40">
        <f t="shared" si="0"/>
        <v>25</v>
      </c>
      <c r="X7" s="17">
        <f>SUM('IK I:IK IV'!X7)</f>
        <v>3</v>
      </c>
      <c r="Y7" s="17">
        <f>SUM('IK I:IK IV'!Y7)</f>
        <v>6</v>
      </c>
      <c r="Z7" s="13">
        <f>SUM('IK I:IK IV'!Z7)</f>
        <v>6</v>
      </c>
      <c r="AA7" s="17">
        <f>SUM('IK I:IK IV'!AA7)</f>
        <v>4</v>
      </c>
      <c r="AB7" s="40">
        <f t="shared" si="1"/>
        <v>16</v>
      </c>
      <c r="AC7" s="32">
        <f>SUM('IK I:IK IV'!AC7)</f>
        <v>102</v>
      </c>
      <c r="AD7" s="17">
        <f>SUM('IK I:IK IV'!AD7)</f>
        <v>0</v>
      </c>
      <c r="AE7" s="8">
        <f>SUM('IK I:IK IV'!AE7)</f>
        <v>102</v>
      </c>
      <c r="AF7" s="13">
        <f>SUM('IK I:IK IV'!AF7)</f>
        <v>60</v>
      </c>
      <c r="AG7" s="17">
        <f>SUM('IK I:IK IV'!AG7)</f>
        <v>0</v>
      </c>
      <c r="AH7" s="13">
        <f>SUM('IK I:IK IV'!AH7)</f>
        <v>0</v>
      </c>
      <c r="AI7" s="17">
        <f>SUM('IK I:IK IV'!AI7)</f>
        <v>0</v>
      </c>
      <c r="AJ7" s="13">
        <f>SUM('IK I:IK IV'!AJ7)</f>
        <v>10</v>
      </c>
      <c r="AK7" s="17">
        <f>SUM('IK I:IK IV'!AK7)</f>
        <v>0</v>
      </c>
      <c r="AL7" s="13">
        <f>SUM('IK I:IK IV'!AL7)</f>
        <v>0</v>
      </c>
      <c r="AM7" s="17">
        <f>SUM('IK I:IK IV'!AM7)</f>
        <v>5</v>
      </c>
      <c r="AN7" s="44">
        <f>SUM('IK I:IK IV'!AN7)</f>
        <v>75</v>
      </c>
      <c r="AO7" s="8">
        <f>SUM('IK I:IK IV'!AO7)</f>
        <v>14</v>
      </c>
      <c r="AP7" s="17">
        <f>SUM('IK I:IK IV'!AP7)</f>
        <v>0</v>
      </c>
      <c r="AQ7" s="13">
        <f>SUM('IK I:IK IV'!AQ7)</f>
        <v>0</v>
      </c>
      <c r="AR7" s="17">
        <f>SUM('IK I:IK IV'!AR7)</f>
        <v>31</v>
      </c>
      <c r="AS7" s="13">
        <f>SUM('IK I:IK IV'!AS7)</f>
        <v>3</v>
      </c>
      <c r="AT7" s="42">
        <f t="shared" ref="AT7:AT10" si="7">SUM(AP7:AS7)</f>
        <v>34</v>
      </c>
      <c r="AU7" s="13">
        <f t="shared" si="2"/>
        <v>347</v>
      </c>
    </row>
    <row r="8" spans="1:47" x14ac:dyDescent="0.25">
      <c r="A8" s="35" t="s">
        <v>56</v>
      </c>
      <c r="B8" s="16">
        <f>SUM('IK I:IK IV'!B8)</f>
        <v>2</v>
      </c>
      <c r="C8" s="17">
        <f t="shared" si="3"/>
        <v>16</v>
      </c>
      <c r="D8" s="13">
        <f>SUM('IK I:IK IV'!D8)</f>
        <v>7</v>
      </c>
      <c r="E8" s="13">
        <f t="shared" si="4"/>
        <v>17.5</v>
      </c>
      <c r="F8" s="38">
        <f t="shared" si="5"/>
        <v>33.5</v>
      </c>
      <c r="G8" s="17">
        <f>SUM('IK I:IK IV'!G8)</f>
        <v>11</v>
      </c>
      <c r="H8" s="17">
        <f>SUM('IK I:IK IV'!H8)</f>
        <v>12</v>
      </c>
      <c r="I8" s="13">
        <f>SUM('IK I:IK IV'!I8)</f>
        <v>4</v>
      </c>
      <c r="J8" s="13">
        <f>SUM('IK I:IK IV'!J8)</f>
        <v>11</v>
      </c>
      <c r="K8" s="17">
        <f>SUM('IK I:IK IV'!K8)</f>
        <v>9</v>
      </c>
      <c r="L8" s="17">
        <f>SUM('IK I:IK IV'!L8)</f>
        <v>9</v>
      </c>
      <c r="M8" s="13">
        <f>SUM('IK I:IK IV'!M8)</f>
        <v>14</v>
      </c>
      <c r="N8" s="13">
        <f>SUM('IK I:IK IV'!N8)</f>
        <v>34</v>
      </c>
      <c r="O8" s="17">
        <f>SUM('IK I:IK IV'!O8)</f>
        <v>15</v>
      </c>
      <c r="P8" s="17">
        <f>SUM('IK I:IK IV'!P8)</f>
        <v>22.5</v>
      </c>
      <c r="Q8" s="40">
        <f t="shared" si="6"/>
        <v>88.5</v>
      </c>
      <c r="R8" s="13">
        <f>SUM('IK I:IK IV'!R8)</f>
        <v>6</v>
      </c>
      <c r="S8" s="13">
        <f>SUM('IK I:IK IV'!S8)</f>
        <v>18</v>
      </c>
      <c r="T8" s="17">
        <f>SUM('IK I:IK IV'!T8)</f>
        <v>6</v>
      </c>
      <c r="U8" s="17">
        <f>SUM('IK I:IK IV'!U8)</f>
        <v>12</v>
      </c>
      <c r="V8" s="13">
        <f>SUM('IK I:IK IV'!V8)</f>
        <v>3</v>
      </c>
      <c r="W8" s="40">
        <f t="shared" si="0"/>
        <v>33</v>
      </c>
      <c r="X8" s="17">
        <f>SUM('IK I:IK IV'!X8)</f>
        <v>4</v>
      </c>
      <c r="Y8" s="17">
        <f>SUM('IK I:IK IV'!Y8)</f>
        <v>10</v>
      </c>
      <c r="Z8" s="13">
        <f>SUM('IK I:IK IV'!Z8)</f>
        <v>8</v>
      </c>
      <c r="AA8" s="17">
        <f>SUM('IK I:IK IV'!AA8)</f>
        <v>4</v>
      </c>
      <c r="AB8" s="40">
        <f t="shared" si="1"/>
        <v>22</v>
      </c>
      <c r="AC8" s="32">
        <f>SUM('IK I:IK IV'!AC8)</f>
        <v>90</v>
      </c>
      <c r="AD8" s="17">
        <f>SUM('IK I:IK IV'!AD8)</f>
        <v>0</v>
      </c>
      <c r="AE8" s="8">
        <f>SUM('IK I:IK IV'!AE8)</f>
        <v>90</v>
      </c>
      <c r="AF8" s="13">
        <f>SUM('IK I:IK IV'!AF8)</f>
        <v>40</v>
      </c>
      <c r="AG8" s="17">
        <f>SUM('IK I:IK IV'!AG8)</f>
        <v>0</v>
      </c>
      <c r="AH8" s="13">
        <f>SUM('IK I:IK IV'!AH8)</f>
        <v>0</v>
      </c>
      <c r="AI8" s="17">
        <f>SUM('IK I:IK IV'!AI8)</f>
        <v>0</v>
      </c>
      <c r="AJ8" s="13">
        <f>SUM('IK I:IK IV'!AJ8)</f>
        <v>10</v>
      </c>
      <c r="AK8" s="17">
        <f>SUM('IK I:IK IV'!AK8)</f>
        <v>0</v>
      </c>
      <c r="AL8" s="13">
        <f>SUM('IK I:IK IV'!AL8)</f>
        <v>0</v>
      </c>
      <c r="AM8" s="17">
        <f>SUM('IK I:IK IV'!AM8)</f>
        <v>12.5</v>
      </c>
      <c r="AN8" s="44">
        <f>SUM('IK I:IK IV'!AN8)</f>
        <v>62.5</v>
      </c>
      <c r="AO8" s="8">
        <f>SUM('IK I:IK IV'!AO8)</f>
        <v>14</v>
      </c>
      <c r="AP8" s="17">
        <f>SUM('IK I:IK IV'!AP8)</f>
        <v>0</v>
      </c>
      <c r="AQ8" s="13">
        <f>SUM('IK I:IK IV'!AQ8)</f>
        <v>0</v>
      </c>
      <c r="AR8" s="17">
        <f>SUM('IK I:IK IV'!AR8)</f>
        <v>3</v>
      </c>
      <c r="AS8" s="13">
        <f>SUM('IK I:IK IV'!AS8)</f>
        <v>0</v>
      </c>
      <c r="AT8" s="42">
        <f t="shared" si="7"/>
        <v>3</v>
      </c>
      <c r="AU8" s="13">
        <f t="shared" si="2"/>
        <v>346.5</v>
      </c>
    </row>
    <row r="9" spans="1:47" x14ac:dyDescent="0.25">
      <c r="A9" s="35" t="s">
        <v>57</v>
      </c>
      <c r="B9" s="16">
        <f>SUM('IK I:IK IV'!B9)</f>
        <v>3</v>
      </c>
      <c r="C9" s="17">
        <f t="shared" si="3"/>
        <v>24</v>
      </c>
      <c r="D9" s="13">
        <f>SUM('IK I:IK IV'!D9)</f>
        <v>9</v>
      </c>
      <c r="E9" s="13">
        <f t="shared" si="4"/>
        <v>22.5</v>
      </c>
      <c r="F9" s="38">
        <f t="shared" si="5"/>
        <v>46.5</v>
      </c>
      <c r="G9" s="17">
        <f>SUM('IK I:IK IV'!G9)</f>
        <v>7</v>
      </c>
      <c r="H9" s="17">
        <f>SUM('IK I:IK IV'!H9)</f>
        <v>12</v>
      </c>
      <c r="I9" s="13">
        <f>SUM('IK I:IK IV'!I9)</f>
        <v>3</v>
      </c>
      <c r="J9" s="13">
        <f>SUM('IK I:IK IV'!J9)</f>
        <v>8</v>
      </c>
      <c r="K9" s="17">
        <f>SUM('IK I:IK IV'!K9)</f>
        <v>2</v>
      </c>
      <c r="L9" s="17">
        <f>SUM('IK I:IK IV'!L9)</f>
        <v>2</v>
      </c>
      <c r="M9" s="13">
        <f>SUM('IK I:IK IV'!M9)</f>
        <v>9</v>
      </c>
      <c r="N9" s="13">
        <f>SUM('IK I:IK IV'!N9)</f>
        <v>22</v>
      </c>
      <c r="O9" s="17">
        <f>SUM('IK I:IK IV'!O9)</f>
        <v>9</v>
      </c>
      <c r="P9" s="17">
        <f>SUM('IK I:IK IV'!P9)</f>
        <v>13.5</v>
      </c>
      <c r="Q9" s="40">
        <f t="shared" si="6"/>
        <v>57.5</v>
      </c>
      <c r="R9" s="13">
        <f>SUM('IK I:IK IV'!R9)</f>
        <v>5</v>
      </c>
      <c r="S9" s="13">
        <f>SUM('IK I:IK IV'!S9)</f>
        <v>15</v>
      </c>
      <c r="T9" s="17">
        <f>SUM('IK I:IK IV'!T9)</f>
        <v>5</v>
      </c>
      <c r="U9" s="17">
        <f>SUM('IK I:IK IV'!U9)</f>
        <v>10</v>
      </c>
      <c r="V9" s="13">
        <f>SUM('IK I:IK IV'!V9)</f>
        <v>0</v>
      </c>
      <c r="W9" s="40">
        <f t="shared" si="0"/>
        <v>25</v>
      </c>
      <c r="X9" s="17">
        <f>SUM('IK I:IK IV'!X9)</f>
        <v>4</v>
      </c>
      <c r="Y9" s="17">
        <f>SUM('IK I:IK IV'!Y9)</f>
        <v>8.5</v>
      </c>
      <c r="Z9" s="13">
        <f>SUM('IK I:IK IV'!Z9)</f>
        <v>7.5</v>
      </c>
      <c r="AA9" s="17">
        <f>SUM('IK I:IK IV'!AA9)</f>
        <v>2</v>
      </c>
      <c r="AB9" s="40">
        <f t="shared" si="1"/>
        <v>18</v>
      </c>
      <c r="AC9" s="32">
        <f>SUM('IK I:IK IV'!AC9)</f>
        <v>51</v>
      </c>
      <c r="AD9" s="17">
        <f>SUM('IK I:IK IV'!AD9)</f>
        <v>0</v>
      </c>
      <c r="AE9" s="8">
        <f>SUM('IK I:IK IV'!AE9)</f>
        <v>51</v>
      </c>
      <c r="AF9" s="13">
        <f>SUM('IK I:IK IV'!AF9)</f>
        <v>0</v>
      </c>
      <c r="AG9" s="17">
        <f>SUM('IK I:IK IV'!AG9)</f>
        <v>0</v>
      </c>
      <c r="AH9" s="13">
        <f>SUM('IK I:IK IV'!AH9)</f>
        <v>0</v>
      </c>
      <c r="AI9" s="17">
        <f>SUM('IK I:IK IV'!AI9)</f>
        <v>30</v>
      </c>
      <c r="AJ9" s="13">
        <f>SUM('IK I:IK IV'!AJ9)</f>
        <v>0</v>
      </c>
      <c r="AK9" s="17">
        <f>SUM('IK I:IK IV'!AK9)</f>
        <v>0</v>
      </c>
      <c r="AL9" s="13">
        <f>SUM('IK I:IK IV'!AL9)</f>
        <v>0</v>
      </c>
      <c r="AM9" s="17">
        <f>SUM('IK I:IK IV'!AM9)</f>
        <v>22.5</v>
      </c>
      <c r="AN9" s="44">
        <f>SUM('IK I:IK IV'!AN9)</f>
        <v>52.5</v>
      </c>
      <c r="AO9" s="8">
        <f>SUM('IK I:IK IV'!AO9)</f>
        <v>14</v>
      </c>
      <c r="AP9" s="17">
        <f>SUM('IK I:IK IV'!AP9)</f>
        <v>0</v>
      </c>
      <c r="AQ9" s="13">
        <f>SUM('IK I:IK IV'!AQ9)</f>
        <v>0</v>
      </c>
      <c r="AR9" s="17">
        <f>SUM('IK I:IK IV'!AR9)</f>
        <v>3</v>
      </c>
      <c r="AS9" s="13">
        <f>SUM('IK I:IK IV'!AS9)</f>
        <v>0</v>
      </c>
      <c r="AT9" s="42">
        <f t="shared" si="7"/>
        <v>3</v>
      </c>
      <c r="AU9" s="13">
        <f t="shared" si="2"/>
        <v>267.5</v>
      </c>
    </row>
    <row r="10" spans="1:47" x14ac:dyDescent="0.25">
      <c r="A10" s="35" t="s">
        <v>58</v>
      </c>
      <c r="B10" s="16">
        <f>SUM('IK I:IK IV'!B10)</f>
        <v>3</v>
      </c>
      <c r="C10" s="17">
        <f t="shared" si="3"/>
        <v>24</v>
      </c>
      <c r="D10" s="13">
        <f>SUM('IK I:IK IV'!D10)</f>
        <v>7</v>
      </c>
      <c r="E10" s="13">
        <f t="shared" si="4"/>
        <v>17.5</v>
      </c>
      <c r="F10" s="38">
        <f t="shared" si="5"/>
        <v>41.5</v>
      </c>
      <c r="G10" s="17">
        <f>SUM('IK I:IK IV'!G10)</f>
        <v>7</v>
      </c>
      <c r="H10" s="17">
        <f>SUM('IK I:IK IV'!H10)</f>
        <v>12</v>
      </c>
      <c r="I10" s="13">
        <f>SUM('IK I:IK IV'!I10)</f>
        <v>3</v>
      </c>
      <c r="J10" s="13">
        <f>SUM('IK I:IK IV'!J10)</f>
        <v>8</v>
      </c>
      <c r="K10" s="17">
        <f>SUM('IK I:IK IV'!K10)</f>
        <v>2</v>
      </c>
      <c r="L10" s="17">
        <f>SUM('IK I:IK IV'!L10)</f>
        <v>2</v>
      </c>
      <c r="M10" s="13">
        <f>SUM('IK I:IK IV'!M10)</f>
        <v>11</v>
      </c>
      <c r="N10" s="13">
        <f>SUM('IK I:IK IV'!N10)</f>
        <v>27.5</v>
      </c>
      <c r="O10" s="17">
        <f>SUM('IK I:IK IV'!O10)</f>
        <v>9</v>
      </c>
      <c r="P10" s="17">
        <f>SUM('IK I:IK IV'!P10)</f>
        <v>13.5</v>
      </c>
      <c r="Q10" s="40">
        <f t="shared" si="6"/>
        <v>63</v>
      </c>
      <c r="R10" s="13">
        <f>SUM('IK I:IK IV'!R10)</f>
        <v>4</v>
      </c>
      <c r="S10" s="13">
        <f>SUM('IK I:IK IV'!S10)</f>
        <v>12</v>
      </c>
      <c r="T10" s="17">
        <f>SUM('IK I:IK IV'!T10)</f>
        <v>4</v>
      </c>
      <c r="U10" s="17">
        <f>SUM('IK I:IK IV'!U10)</f>
        <v>8</v>
      </c>
      <c r="V10" s="13">
        <f>SUM('IK I:IK IV'!V10)</f>
        <v>0</v>
      </c>
      <c r="W10" s="40">
        <f t="shared" si="0"/>
        <v>20</v>
      </c>
      <c r="X10" s="17">
        <f>SUM('IK I:IK IV'!X10)</f>
        <v>3</v>
      </c>
      <c r="Y10" s="17">
        <f>SUM('IK I:IK IV'!Y10)</f>
        <v>7</v>
      </c>
      <c r="Z10" s="13">
        <f>SUM('IK I:IK IV'!Z10)</f>
        <v>6</v>
      </c>
      <c r="AA10" s="17">
        <f>SUM('IK I:IK IV'!AA10)</f>
        <v>3</v>
      </c>
      <c r="AB10" s="40">
        <f t="shared" si="1"/>
        <v>16</v>
      </c>
      <c r="AC10" s="32">
        <f>SUM('IK I:IK IV'!AC10)</f>
        <v>0</v>
      </c>
      <c r="AD10" s="17">
        <f>SUM('IK I:IK IV'!AD10)</f>
        <v>0</v>
      </c>
      <c r="AE10" s="8">
        <f>SUM('IK I:IK IV'!AE10)</f>
        <v>99</v>
      </c>
      <c r="AF10" s="13">
        <f>SUM('IK I:IK IV'!AF10)</f>
        <v>60</v>
      </c>
      <c r="AG10" s="17">
        <f>SUM('IK I:IK IV'!AG10)</f>
        <v>20</v>
      </c>
      <c r="AH10" s="13">
        <f>SUM('IK I:IK IV'!AH10)</f>
        <v>0</v>
      </c>
      <c r="AI10" s="17">
        <f>SUM('IK I:IK IV'!AI10)</f>
        <v>0</v>
      </c>
      <c r="AJ10" s="13">
        <f>SUM('IK I:IK IV'!AJ10)</f>
        <v>0</v>
      </c>
      <c r="AK10" s="17">
        <f>SUM('IK I:IK IV'!AK10)</f>
        <v>0</v>
      </c>
      <c r="AL10" s="13">
        <f>SUM('IK I:IK IV'!AL10)</f>
        <v>0</v>
      </c>
      <c r="AM10" s="17">
        <f>SUM('IK I:IK IV'!AM10)</f>
        <v>12.5</v>
      </c>
      <c r="AN10" s="44">
        <f>SUM('IK I:IK IV'!AN10)</f>
        <v>92.5</v>
      </c>
      <c r="AO10" s="8">
        <f>SUM('IK I:IK IV'!AO10)</f>
        <v>14</v>
      </c>
      <c r="AP10" s="17">
        <f>SUM('IK I:IK IV'!AP10)</f>
        <v>0</v>
      </c>
      <c r="AQ10" s="13">
        <f>SUM('IK I:IK IV'!AQ10)</f>
        <v>0</v>
      </c>
      <c r="AR10" s="17">
        <f>SUM('IK I:IK IV'!AR10)</f>
        <v>0</v>
      </c>
      <c r="AS10" s="13">
        <f>SUM('IK I:IK IV'!AS10)</f>
        <v>0</v>
      </c>
      <c r="AT10" s="42">
        <f t="shared" si="7"/>
        <v>0</v>
      </c>
      <c r="AU10" s="13">
        <f t="shared" si="2"/>
        <v>346</v>
      </c>
    </row>
  </sheetData>
  <mergeCells count="18">
    <mergeCell ref="X2:AA3"/>
    <mergeCell ref="AC2:AO2"/>
    <mergeCell ref="AP2:AS3"/>
    <mergeCell ref="M4:N4"/>
    <mergeCell ref="O4:P4"/>
    <mergeCell ref="X4:Y4"/>
    <mergeCell ref="AC3:AD3"/>
    <mergeCell ref="AF3:AM3"/>
    <mergeCell ref="B2:E3"/>
    <mergeCell ref="G2:P3"/>
    <mergeCell ref="R2:V3"/>
    <mergeCell ref="B4:C4"/>
    <mergeCell ref="D4:E4"/>
    <mergeCell ref="G4:H4"/>
    <mergeCell ref="I4:J4"/>
    <mergeCell ref="K4:L4"/>
    <mergeCell ref="R4:S4"/>
    <mergeCell ref="T4:U4"/>
  </mergeCells>
  <conditionalFormatting sqref="B6:B10">
    <cfRule type="cellIs" dxfId="21" priority="21" operator="lessThan">
      <formula>3</formula>
    </cfRule>
  </conditionalFormatting>
  <conditionalFormatting sqref="D6:D10">
    <cfRule type="cellIs" dxfId="20" priority="19" operator="lessThan">
      <formula>4</formula>
    </cfRule>
  </conditionalFormatting>
  <conditionalFormatting sqref="F6:F10">
    <cfRule type="cellIs" dxfId="19" priority="23" operator="lessThan">
      <formula>32</formula>
    </cfRule>
  </conditionalFormatting>
  <conditionalFormatting sqref="G6:G10">
    <cfRule type="cellIs" dxfId="18" priority="18" operator="lessThan">
      <formula>6</formula>
    </cfRule>
  </conditionalFormatting>
  <conditionalFormatting sqref="H6:H10">
    <cfRule type="cellIs" dxfId="17" priority="17" operator="lessThan">
      <formula>12</formula>
    </cfRule>
  </conditionalFormatting>
  <conditionalFormatting sqref="I6:I10">
    <cfRule type="cellIs" dxfId="16" priority="16" operator="lessThan">
      <formula>3</formula>
    </cfRule>
  </conditionalFormatting>
  <conditionalFormatting sqref="J6:J10">
    <cfRule type="cellIs" dxfId="15" priority="15" operator="lessThan">
      <formula>6</formula>
    </cfRule>
  </conditionalFormatting>
  <conditionalFormatting sqref="K6:L10">
    <cfRule type="cellIs" dxfId="14" priority="14" operator="lessThan">
      <formula>2</formula>
    </cfRule>
  </conditionalFormatting>
  <conditionalFormatting sqref="M6:M10">
    <cfRule type="cellIs" dxfId="13" priority="13" operator="lessThan">
      <formula>4</formula>
    </cfRule>
  </conditionalFormatting>
  <conditionalFormatting sqref="N6:N10">
    <cfRule type="cellIs" dxfId="12" priority="12" operator="lessThan">
      <formula>8</formula>
    </cfRule>
  </conditionalFormatting>
  <conditionalFormatting sqref="O6:O10">
    <cfRule type="cellIs" dxfId="11" priority="11" operator="lessThan">
      <formula>4</formula>
    </cfRule>
  </conditionalFormatting>
  <conditionalFormatting sqref="P6:P10">
    <cfRule type="cellIs" dxfId="10" priority="10" operator="lessThan">
      <formula>6</formula>
    </cfRule>
  </conditionalFormatting>
  <conditionalFormatting sqref="Q6:Q10">
    <cfRule type="cellIs" dxfId="9" priority="9" operator="lessThan">
      <formula>55</formula>
    </cfRule>
  </conditionalFormatting>
  <conditionalFormatting sqref="S6:S10">
    <cfRule type="cellIs" dxfId="8" priority="8" operator="lessThan">
      <formula>9</formula>
    </cfRule>
  </conditionalFormatting>
  <conditionalFormatting sqref="U6:U10">
    <cfRule type="cellIs" dxfId="7" priority="7" operator="lessThan">
      <formula>6</formula>
    </cfRule>
  </conditionalFormatting>
  <conditionalFormatting sqref="W6:W10">
    <cfRule type="cellIs" dxfId="6" priority="6" operator="lessThan">
      <formula>20</formula>
    </cfRule>
  </conditionalFormatting>
  <conditionalFormatting sqref="X6:X10">
    <cfRule type="cellIs" dxfId="5" priority="5" operator="lessThan">
      <formula>2</formula>
    </cfRule>
  </conditionalFormatting>
  <conditionalFormatting sqref="AB6:AB10">
    <cfRule type="cellIs" dxfId="4" priority="4" operator="lessThan">
      <formula>8</formula>
    </cfRule>
  </conditionalFormatting>
  <conditionalFormatting sqref="AE6:AE10">
    <cfRule type="cellIs" dxfId="3" priority="3" operator="lessThan">
      <formula>51</formula>
    </cfRule>
  </conditionalFormatting>
  <conditionalFormatting sqref="AN6:AN10">
    <cfRule type="cellIs" dxfId="2" priority="2" operator="lessThan">
      <formula>51</formula>
    </cfRule>
  </conditionalFormatting>
  <conditionalFormatting sqref="AO6:AO10">
    <cfRule type="cellIs" dxfId="1" priority="1" operator="lessThan">
      <formula>14</formula>
    </cfRule>
  </conditionalFormatting>
  <conditionalFormatting sqref="AU6:AU10">
    <cfRule type="cellIs" dxfId="0" priority="20" operator="lessThan">
      <formula>264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IK I</vt:lpstr>
      <vt:lpstr>IK II</vt:lpstr>
      <vt:lpstr>IK III</vt:lpstr>
      <vt:lpstr>IK IV</vt:lpstr>
      <vt:lpstr>GESAMT</vt:lpstr>
      <vt:lpstr>'IK IV'!Druckbereich</vt:lpstr>
    </vt:vector>
  </TitlesOfParts>
  <Company>Carolinum gGmbH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Blauhut</dc:creator>
  <cp:lastModifiedBy>Dr. Thorsten Blauhut</cp:lastModifiedBy>
  <cp:lastPrinted>2026-03-20T13:24:24Z</cp:lastPrinted>
  <dcterms:created xsi:type="dcterms:W3CDTF">2025-02-10T12:56:03Z</dcterms:created>
  <dcterms:modified xsi:type="dcterms:W3CDTF">2026-08-26T09:41:24Z</dcterms:modified>
</cp:coreProperties>
</file>
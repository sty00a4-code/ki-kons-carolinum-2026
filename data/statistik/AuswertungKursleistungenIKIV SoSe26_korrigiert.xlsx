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K I" sheetId="1" r:id="rId4"/>
    <sheet state="visible" name="IK II" sheetId="2" r:id="rId5"/>
    <sheet state="visible" name="IK III" sheetId="3" r:id="rId6"/>
    <sheet state="visible" name="IK IV" sheetId="4" r:id="rId7"/>
    <sheet state="visible" name="GESAMT" sheetId="5" r:id="rId8"/>
  </sheets>
  <definedNames/>
  <calcPr/>
  <extLst>
    <ext uri="GoogleSheetsCustomDataVersion2">
      <go:sheetsCustomData xmlns:go="http://customooxmlschemas.google.com/" r:id="rId9" roundtripDataChecksum="loiMaIBi1c8UUxYtzRFq/+6jI641OXS/RSGGEoMLoco="/>
    </ext>
  </extLst>
</workbook>
</file>

<file path=xl/sharedStrings.xml><?xml version="1.0" encoding="utf-8"?>
<sst xmlns="http://schemas.openxmlformats.org/spreadsheetml/2006/main" count="501" uniqueCount="59">
  <si>
    <t>Parodontologie</t>
  </si>
  <si>
    <t>Zahnhartsubstanzlehre/Prävention/Restauration</t>
  </si>
  <si>
    <t>Endodontologie</t>
  </si>
  <si>
    <t>Kinderzahnheilkunde</t>
  </si>
  <si>
    <t>Prothetik</t>
  </si>
  <si>
    <t>Schnittmenge
ZHS/Restauration/Prothetik</t>
  </si>
  <si>
    <t>Festsitzend</t>
  </si>
  <si>
    <t>Herausnehmbar</t>
  </si>
  <si>
    <t>Fkt.</t>
  </si>
  <si>
    <t>IK I WiSe2024/2025</t>
  </si>
  <si>
    <t>AIT</t>
  </si>
  <si>
    <t>UPT</t>
  </si>
  <si>
    <t>Klasse I und II</t>
  </si>
  <si>
    <t>Klasse III und IV</t>
  </si>
  <si>
    <t>Klasse V</t>
  </si>
  <si>
    <t>Befund</t>
  </si>
  <si>
    <t>PZR</t>
  </si>
  <si>
    <t>ZHS/Präv./Rest.</t>
  </si>
  <si>
    <t>WK</t>
  </si>
  <si>
    <t>WF</t>
  </si>
  <si>
    <t>WF-Revision</t>
  </si>
  <si>
    <t>Befund Kind</t>
  </si>
  <si>
    <t>Prophylaxe Kind</t>
  </si>
  <si>
    <t>Non-invasiv/invasiv Kind</t>
  </si>
  <si>
    <t>Krone</t>
  </si>
  <si>
    <t>Brückenglied</t>
  </si>
  <si>
    <t>Totalprothese</t>
  </si>
  <si>
    <t>Teilprothese Doppelkrone</t>
  </si>
  <si>
    <t>Teleskop</t>
  </si>
  <si>
    <t>MEG</t>
  </si>
  <si>
    <t>Interimsprothese</t>
  </si>
  <si>
    <t>Unterfütterung</t>
  </si>
  <si>
    <t>Remontage</t>
  </si>
  <si>
    <t>Proth. Recall</t>
  </si>
  <si>
    <t>Aufbissbehelf</t>
  </si>
  <si>
    <t>Inlay/Teilkrone</t>
  </si>
  <si>
    <t>Kronenrandfensterung</t>
  </si>
  <si>
    <t>Stumpfaufbau(KVB)</t>
  </si>
  <si>
    <t>Stiftaufbau</t>
  </si>
  <si>
    <t>Schnittmenge</t>
  </si>
  <si>
    <t>Hosp. in Kindersprechstunde</t>
  </si>
  <si>
    <t>IK I</t>
  </si>
  <si>
    <t>Name</t>
  </si>
  <si>
    <t>Anzahl</t>
  </si>
  <si>
    <t>Punkte</t>
  </si>
  <si>
    <t>Gesamt</t>
  </si>
  <si>
    <t>Stud. 1</t>
  </si>
  <si>
    <t>Stud. 2</t>
  </si>
  <si>
    <t>Stud. 3</t>
  </si>
  <si>
    <t>Stud. 4</t>
  </si>
  <si>
    <t>Stud. 5</t>
  </si>
  <si>
    <t>IK II SoSe2025</t>
  </si>
  <si>
    <t>Hosp. in ZAB (nur IK II und IK III)</t>
  </si>
  <si>
    <t>IK II</t>
  </si>
  <si>
    <t>IK III WiSe2025/26</t>
  </si>
  <si>
    <t>IK III</t>
  </si>
  <si>
    <t>IK IV SoSe26</t>
  </si>
  <si>
    <t>IK IV</t>
  </si>
  <si>
    <t>GESAMT IK I - IK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</si>
</sst>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6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66FF"/>
        <bgColor rgb="FFFF66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16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7" fillId="5" fontId="1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0" fillId="0" fontId="3" numFmtId="0" xfId="0" applyAlignment="1" applyFont="1">
      <alignment horizontal="center" textRotation="90" vertical="center"/>
    </xf>
    <xf borderId="19" fillId="2" fontId="1" numFmtId="0" xfId="0" applyAlignment="1" applyBorder="1" applyFont="1">
      <alignment horizontal="center" textRotation="90"/>
    </xf>
    <xf borderId="20" fillId="0" fontId="2" numFmtId="0" xfId="0" applyBorder="1" applyFont="1"/>
    <xf borderId="21" fillId="2" fontId="1" numFmtId="0" xfId="0" applyAlignment="1" applyBorder="1" applyFont="1">
      <alignment horizontal="center" textRotation="90"/>
    </xf>
    <xf borderId="6" fillId="3" fontId="1" numFmtId="0" xfId="0" applyAlignment="1" applyBorder="1" applyFont="1">
      <alignment horizontal="center" textRotation="90"/>
    </xf>
    <xf borderId="15" fillId="3" fontId="1" numFmtId="0" xfId="0" applyAlignment="1" applyBorder="1" applyFont="1">
      <alignment horizontal="center" textRotation="90"/>
    </xf>
    <xf borderId="16" fillId="3" fontId="1" numFmtId="0" xfId="0" applyAlignment="1" applyBorder="1" applyFont="1">
      <alignment horizontal="center" textRotation="90"/>
    </xf>
    <xf borderId="9" fillId="3" fontId="1" numFmtId="0" xfId="0" applyAlignment="1" applyBorder="1" applyFont="1">
      <alignment horizontal="center" textRotation="90"/>
    </xf>
    <xf borderId="22" fillId="4" fontId="1" numFmtId="0" xfId="0" applyAlignment="1" applyBorder="1" applyFont="1">
      <alignment horizontal="center" textRotation="90"/>
    </xf>
    <xf borderId="22" fillId="5" fontId="1" numFmtId="0" xfId="0" applyAlignment="1" applyBorder="1" applyFont="1">
      <alignment horizontal="center" textRotation="90"/>
    </xf>
    <xf borderId="1" fillId="3" fontId="1" numFmtId="0" xfId="0" applyAlignment="1" applyBorder="1" applyFont="1">
      <alignment horizontal="center" textRotation="90"/>
    </xf>
    <xf borderId="1" fillId="0" fontId="3" numFmtId="0" xfId="0" applyAlignment="1" applyBorder="1" applyFont="1">
      <alignment horizontal="center" textRotation="90"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3" fontId="1" numFmtId="0" xfId="0" applyBorder="1" applyFont="1"/>
    <xf borderId="1" fillId="0" fontId="1" numFmtId="0" xfId="0" applyAlignment="1" applyBorder="1" applyFont="1">
      <alignment horizontal="center"/>
    </xf>
    <xf borderId="23" fillId="0" fontId="4" numFmtId="0" xfId="0" applyBorder="1" applyFont="1"/>
    <xf borderId="16" fillId="6" fontId="1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24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textRotation="90"/>
    </xf>
    <xf borderId="1" fillId="7" fontId="1" numFmtId="0" xfId="0" applyBorder="1" applyFont="1"/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right"/>
    </xf>
    <xf borderId="1" fillId="0" fontId="4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86"/>
    <col customWidth="1" min="2" max="48" width="10.71"/>
  </cols>
  <sheetData>
    <row r="1" ht="14.25" customHeight="1">
      <c r="AS1" s="1"/>
      <c r="AT1" s="2"/>
    </row>
    <row r="2" ht="14.25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15"/>
      <c r="AV2" s="3"/>
    </row>
    <row r="3" ht="14.25" customHeight="1">
      <c r="A3" s="2"/>
      <c r="B3" s="16"/>
      <c r="C3" s="17"/>
      <c r="D3" s="17"/>
      <c r="E3" s="18"/>
      <c r="F3" s="19"/>
      <c r="G3" s="16"/>
      <c r="H3" s="17"/>
      <c r="I3" s="17"/>
      <c r="J3" s="17"/>
      <c r="K3" s="17"/>
      <c r="L3" s="17"/>
      <c r="M3" s="17"/>
      <c r="N3" s="17"/>
      <c r="O3" s="17"/>
      <c r="P3" s="18"/>
      <c r="Q3" s="20"/>
      <c r="R3" s="16"/>
      <c r="S3" s="17"/>
      <c r="T3" s="17"/>
      <c r="U3" s="17"/>
      <c r="V3" s="18"/>
      <c r="W3" s="20"/>
      <c r="X3" s="16"/>
      <c r="Y3" s="17"/>
      <c r="Z3" s="17"/>
      <c r="AA3" s="18"/>
      <c r="AB3" s="20"/>
      <c r="AC3" s="21" t="s">
        <v>6</v>
      </c>
      <c r="AD3" s="12"/>
      <c r="AE3" s="22"/>
      <c r="AF3" s="21" t="s">
        <v>7</v>
      </c>
      <c r="AG3" s="11"/>
      <c r="AH3" s="11"/>
      <c r="AI3" s="11"/>
      <c r="AJ3" s="11"/>
      <c r="AK3" s="11"/>
      <c r="AL3" s="11"/>
      <c r="AM3" s="12"/>
      <c r="AN3" s="23"/>
      <c r="AO3" s="24" t="s">
        <v>8</v>
      </c>
      <c r="AP3" s="16"/>
      <c r="AQ3" s="17"/>
      <c r="AR3" s="17"/>
      <c r="AS3" s="18"/>
      <c r="AT3" s="25"/>
      <c r="AU3" s="26"/>
      <c r="AV3" s="2"/>
    </row>
    <row r="4" ht="153.0" customHeight="1">
      <c r="A4" s="27" t="s">
        <v>9</v>
      </c>
      <c r="B4" s="28" t="s">
        <v>10</v>
      </c>
      <c r="C4" s="29"/>
      <c r="D4" s="28" t="s">
        <v>11</v>
      </c>
      <c r="E4" s="29"/>
      <c r="F4" s="30" t="s">
        <v>0</v>
      </c>
      <c r="G4" s="31" t="s">
        <v>12</v>
      </c>
      <c r="H4" s="12"/>
      <c r="I4" s="31" t="s">
        <v>13</v>
      </c>
      <c r="J4" s="12"/>
      <c r="K4" s="31" t="s">
        <v>14</v>
      </c>
      <c r="L4" s="12"/>
      <c r="M4" s="31" t="s">
        <v>15</v>
      </c>
      <c r="N4" s="12"/>
      <c r="O4" s="31" t="s">
        <v>16</v>
      </c>
      <c r="P4" s="12"/>
      <c r="Q4" s="32" t="s">
        <v>17</v>
      </c>
      <c r="R4" s="31" t="s">
        <v>18</v>
      </c>
      <c r="S4" s="12"/>
      <c r="T4" s="31" t="s">
        <v>19</v>
      </c>
      <c r="U4" s="12"/>
      <c r="V4" s="33" t="s">
        <v>20</v>
      </c>
      <c r="W4" s="32" t="s">
        <v>2</v>
      </c>
      <c r="X4" s="31" t="s">
        <v>21</v>
      </c>
      <c r="Y4" s="12"/>
      <c r="Z4" s="33" t="s">
        <v>22</v>
      </c>
      <c r="AA4" s="33" t="s">
        <v>23</v>
      </c>
      <c r="AB4" s="34" t="s">
        <v>3</v>
      </c>
      <c r="AC4" s="35" t="s">
        <v>24</v>
      </c>
      <c r="AD4" s="35" t="s">
        <v>25</v>
      </c>
      <c r="AE4" s="35" t="s">
        <v>6</v>
      </c>
      <c r="AF4" s="35" t="s">
        <v>26</v>
      </c>
      <c r="AG4" s="35" t="s">
        <v>27</v>
      </c>
      <c r="AH4" s="35" t="s">
        <v>28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33</v>
      </c>
      <c r="AN4" s="35" t="s">
        <v>7</v>
      </c>
      <c r="AO4" s="35" t="s">
        <v>34</v>
      </c>
      <c r="AP4" s="36" t="s">
        <v>35</v>
      </c>
      <c r="AQ4" s="36" t="s">
        <v>36</v>
      </c>
      <c r="AR4" s="36" t="s">
        <v>37</v>
      </c>
      <c r="AS4" s="36" t="s">
        <v>38</v>
      </c>
      <c r="AT4" s="36" t="s">
        <v>39</v>
      </c>
      <c r="AU4" s="37" t="s">
        <v>40</v>
      </c>
      <c r="AV4" s="38" t="s">
        <v>41</v>
      </c>
    </row>
    <row r="5" ht="14.25" customHeight="1">
      <c r="A5" s="39" t="s">
        <v>42</v>
      </c>
      <c r="B5" s="40" t="s">
        <v>43</v>
      </c>
      <c r="C5" s="40" t="s">
        <v>44</v>
      </c>
      <c r="D5" s="40" t="s">
        <v>43</v>
      </c>
      <c r="E5" s="40" t="s">
        <v>44</v>
      </c>
      <c r="F5" s="40" t="s">
        <v>45</v>
      </c>
      <c r="G5" s="41" t="s">
        <v>43</v>
      </c>
      <c r="H5" s="41" t="s">
        <v>44</v>
      </c>
      <c r="I5" s="41" t="s">
        <v>43</v>
      </c>
      <c r="J5" s="41" t="s">
        <v>44</v>
      </c>
      <c r="K5" s="41" t="s">
        <v>43</v>
      </c>
      <c r="L5" s="41" t="s">
        <v>44</v>
      </c>
      <c r="M5" s="41" t="s">
        <v>43</v>
      </c>
      <c r="N5" s="41" t="s">
        <v>44</v>
      </c>
      <c r="O5" s="41" t="s">
        <v>43</v>
      </c>
      <c r="P5" s="41" t="s">
        <v>44</v>
      </c>
      <c r="Q5" s="41" t="s">
        <v>45</v>
      </c>
      <c r="R5" s="41" t="s">
        <v>43</v>
      </c>
      <c r="S5" s="41" t="s">
        <v>44</v>
      </c>
      <c r="T5" s="41" t="s">
        <v>43</v>
      </c>
      <c r="U5" s="41" t="s">
        <v>44</v>
      </c>
      <c r="V5" s="41" t="s">
        <v>44</v>
      </c>
      <c r="W5" s="41" t="s">
        <v>45</v>
      </c>
      <c r="X5" s="41" t="s">
        <v>43</v>
      </c>
      <c r="Y5" s="41" t="s">
        <v>44</v>
      </c>
      <c r="Z5" s="41" t="s">
        <v>44</v>
      </c>
      <c r="AA5" s="41" t="s">
        <v>44</v>
      </c>
      <c r="AB5" s="41" t="s">
        <v>45</v>
      </c>
      <c r="AC5" s="24" t="s">
        <v>44</v>
      </c>
      <c r="AD5" s="24" t="s">
        <v>44</v>
      </c>
      <c r="AE5" s="24" t="s">
        <v>45</v>
      </c>
      <c r="AF5" s="24" t="s">
        <v>44</v>
      </c>
      <c r="AG5" s="24" t="s">
        <v>44</v>
      </c>
      <c r="AH5" s="24" t="s">
        <v>44</v>
      </c>
      <c r="AI5" s="24" t="s">
        <v>44</v>
      </c>
      <c r="AJ5" s="24" t="s">
        <v>44</v>
      </c>
      <c r="AK5" s="24" t="s">
        <v>44</v>
      </c>
      <c r="AL5" s="24" t="s">
        <v>44</v>
      </c>
      <c r="AM5" s="24" t="s">
        <v>44</v>
      </c>
      <c r="AN5" s="24" t="s">
        <v>45</v>
      </c>
      <c r="AO5" s="24" t="s">
        <v>44</v>
      </c>
      <c r="AP5" s="42" t="s">
        <v>44</v>
      </c>
      <c r="AQ5" s="42" t="s">
        <v>44</v>
      </c>
      <c r="AR5" s="42" t="s">
        <v>44</v>
      </c>
      <c r="AS5" s="42" t="s">
        <v>44</v>
      </c>
      <c r="AT5" s="42" t="s">
        <v>45</v>
      </c>
      <c r="AU5" s="43"/>
      <c r="AV5" s="44" t="s">
        <v>45</v>
      </c>
    </row>
    <row r="6" ht="14.25" customHeight="1">
      <c r="A6" s="45" t="s">
        <v>46</v>
      </c>
      <c r="B6" s="46">
        <v>1.0</v>
      </c>
      <c r="C6" s="47">
        <f t="shared" ref="C6:C10" si="1">B6*8</f>
        <v>8</v>
      </c>
      <c r="D6" s="44">
        <v>1.0</v>
      </c>
      <c r="E6" s="44">
        <f t="shared" ref="E6:E10" si="2">D6*2</f>
        <v>2</v>
      </c>
      <c r="F6" s="7">
        <f t="shared" ref="F6:F10" si="3">SUM(C6,E6)</f>
        <v>10</v>
      </c>
      <c r="G6" s="47">
        <v>2.0</v>
      </c>
      <c r="H6" s="47">
        <v>4.0</v>
      </c>
      <c r="I6" s="44">
        <v>0.0</v>
      </c>
      <c r="J6" s="44">
        <v>0.0</v>
      </c>
      <c r="K6" s="47">
        <v>1.0</v>
      </c>
      <c r="L6" s="47">
        <v>1.0</v>
      </c>
      <c r="M6" s="44">
        <v>4.0</v>
      </c>
      <c r="N6" s="44">
        <v>11.0</v>
      </c>
      <c r="O6" s="47">
        <v>3.0</v>
      </c>
      <c r="P6" s="47">
        <v>4.5</v>
      </c>
      <c r="Q6" s="9">
        <f t="shared" ref="Q6:Q10" si="4">SUM(H6,J6,L6,N6,P6)</f>
        <v>20.5</v>
      </c>
      <c r="R6" s="44">
        <v>2.0</v>
      </c>
      <c r="S6" s="44">
        <v>6.0</v>
      </c>
      <c r="T6" s="47">
        <v>2.0</v>
      </c>
      <c r="U6" s="47">
        <v>4.0</v>
      </c>
      <c r="V6" s="44">
        <v>0.0</v>
      </c>
      <c r="W6" s="9">
        <f t="shared" ref="W6:W10" si="5">SUM(S6,U6,V6)</f>
        <v>10</v>
      </c>
      <c r="X6" s="47">
        <v>0.0</v>
      </c>
      <c r="Y6" s="47">
        <v>0.0</v>
      </c>
      <c r="Z6" s="44">
        <v>0.0</v>
      </c>
      <c r="AA6" s="47">
        <v>0.0</v>
      </c>
      <c r="AB6" s="9">
        <f t="shared" ref="AB6:AB10" si="6">SUM(Y6,Z6,AA6)</f>
        <v>0</v>
      </c>
      <c r="AC6" s="48"/>
      <c r="AD6" s="47"/>
      <c r="AE6" s="22">
        <f t="shared" ref="AE6:AE10" si="7">SUM(AC6,AD6)</f>
        <v>0</v>
      </c>
      <c r="AF6" s="44">
        <v>20.0</v>
      </c>
      <c r="AG6" s="47"/>
      <c r="AH6" s="44"/>
      <c r="AI6" s="47"/>
      <c r="AJ6" s="44"/>
      <c r="AK6" s="47"/>
      <c r="AL6" s="44"/>
      <c r="AM6" s="49">
        <v>5.0</v>
      </c>
      <c r="AN6" s="23">
        <f t="shared" ref="AN6:AN10" si="8">SUM(AF6:AM6)</f>
        <v>25</v>
      </c>
      <c r="AO6" s="23"/>
      <c r="AP6" s="47"/>
      <c r="AQ6" s="44"/>
      <c r="AR6" s="47">
        <v>6.0</v>
      </c>
      <c r="AS6" s="44"/>
      <c r="AT6" s="14">
        <f t="shared" ref="AT6:AT10" si="9">SUM(AP6:AS6)</f>
        <v>6</v>
      </c>
      <c r="AU6" s="44">
        <v>3.0</v>
      </c>
      <c r="AV6" s="44">
        <f t="shared" ref="AV6:AV10" si="10">SUM(F6,Q6,W6,AB6,AE6,AN6,AO6,AT6)</f>
        <v>71.5</v>
      </c>
    </row>
    <row r="7" ht="14.25" customHeight="1">
      <c r="A7" s="45" t="s">
        <v>47</v>
      </c>
      <c r="B7" s="46">
        <v>1.0</v>
      </c>
      <c r="C7" s="47">
        <f t="shared" si="1"/>
        <v>8</v>
      </c>
      <c r="D7" s="44">
        <v>1.0</v>
      </c>
      <c r="E7" s="44">
        <f t="shared" si="2"/>
        <v>2</v>
      </c>
      <c r="F7" s="7">
        <f t="shared" si="3"/>
        <v>10</v>
      </c>
      <c r="G7" s="47">
        <v>2.0</v>
      </c>
      <c r="H7" s="47">
        <v>3.0</v>
      </c>
      <c r="I7" s="44">
        <v>2.0</v>
      </c>
      <c r="J7" s="44">
        <v>4.0</v>
      </c>
      <c r="K7" s="47">
        <v>0.0</v>
      </c>
      <c r="L7" s="47">
        <v>0.0</v>
      </c>
      <c r="M7" s="44">
        <v>2.0</v>
      </c>
      <c r="N7" s="44">
        <v>5.0</v>
      </c>
      <c r="O7" s="47">
        <v>2.0</v>
      </c>
      <c r="P7" s="47">
        <v>3.0</v>
      </c>
      <c r="Q7" s="9">
        <f t="shared" si="4"/>
        <v>15</v>
      </c>
      <c r="R7" s="44">
        <v>0.0</v>
      </c>
      <c r="S7" s="44">
        <v>0.0</v>
      </c>
      <c r="T7" s="47">
        <v>0.0</v>
      </c>
      <c r="U7" s="47">
        <v>0.0</v>
      </c>
      <c r="V7" s="44">
        <v>0.0</v>
      </c>
      <c r="W7" s="9">
        <f t="shared" si="5"/>
        <v>0</v>
      </c>
      <c r="X7" s="47">
        <v>0.0</v>
      </c>
      <c r="Y7" s="47">
        <v>0.0</v>
      </c>
      <c r="Z7" s="44">
        <v>0.0</v>
      </c>
      <c r="AA7" s="47">
        <v>0.0</v>
      </c>
      <c r="AB7" s="9">
        <f t="shared" si="6"/>
        <v>0</v>
      </c>
      <c r="AC7" s="48">
        <v>30.0</v>
      </c>
      <c r="AD7" s="47"/>
      <c r="AE7" s="22">
        <f t="shared" si="7"/>
        <v>30</v>
      </c>
      <c r="AF7" s="44"/>
      <c r="AG7" s="47"/>
      <c r="AH7" s="44"/>
      <c r="AI7" s="47"/>
      <c r="AJ7" s="44"/>
      <c r="AK7" s="47"/>
      <c r="AL7" s="44"/>
      <c r="AM7" s="49">
        <v>5.0</v>
      </c>
      <c r="AN7" s="23">
        <f t="shared" si="8"/>
        <v>5</v>
      </c>
      <c r="AO7" s="23"/>
      <c r="AP7" s="47"/>
      <c r="AQ7" s="44"/>
      <c r="AR7" s="47">
        <v>6.0</v>
      </c>
      <c r="AS7" s="44"/>
      <c r="AT7" s="14">
        <f t="shared" si="9"/>
        <v>6</v>
      </c>
      <c r="AU7" s="44">
        <v>4.0</v>
      </c>
      <c r="AV7" s="44">
        <f t="shared" si="10"/>
        <v>66</v>
      </c>
    </row>
    <row r="8" ht="14.25" customHeight="1">
      <c r="A8" s="45" t="s">
        <v>48</v>
      </c>
      <c r="B8" s="46">
        <v>0.0</v>
      </c>
      <c r="C8" s="47">
        <f t="shared" si="1"/>
        <v>0</v>
      </c>
      <c r="D8" s="44">
        <v>3.0</v>
      </c>
      <c r="E8" s="44">
        <f t="shared" si="2"/>
        <v>6</v>
      </c>
      <c r="F8" s="7">
        <f t="shared" si="3"/>
        <v>6</v>
      </c>
      <c r="G8" s="47">
        <v>4.0</v>
      </c>
      <c r="H8" s="47">
        <v>4.0</v>
      </c>
      <c r="I8" s="44">
        <v>0.0</v>
      </c>
      <c r="J8" s="44">
        <v>0.0</v>
      </c>
      <c r="K8" s="47">
        <v>1.0</v>
      </c>
      <c r="L8" s="47">
        <v>1.0</v>
      </c>
      <c r="M8" s="44">
        <v>4.0</v>
      </c>
      <c r="N8" s="44">
        <v>10.0</v>
      </c>
      <c r="O8" s="47">
        <v>5.0</v>
      </c>
      <c r="P8" s="47">
        <v>7.5</v>
      </c>
      <c r="Q8" s="9">
        <f t="shared" si="4"/>
        <v>22.5</v>
      </c>
      <c r="R8" s="44">
        <v>0.0</v>
      </c>
      <c r="S8" s="44">
        <v>0.0</v>
      </c>
      <c r="T8" s="47">
        <v>0.0</v>
      </c>
      <c r="U8" s="47">
        <v>0.0</v>
      </c>
      <c r="V8" s="44">
        <v>0.0</v>
      </c>
      <c r="W8" s="9">
        <f t="shared" si="5"/>
        <v>0</v>
      </c>
      <c r="X8" s="47">
        <v>0.0</v>
      </c>
      <c r="Y8" s="47">
        <v>0.0</v>
      </c>
      <c r="Z8" s="44">
        <v>0.0</v>
      </c>
      <c r="AA8" s="47">
        <v>0.0</v>
      </c>
      <c r="AB8" s="9">
        <f t="shared" si="6"/>
        <v>0</v>
      </c>
      <c r="AC8" s="48">
        <v>45.0</v>
      </c>
      <c r="AD8" s="47"/>
      <c r="AE8" s="22">
        <f t="shared" si="7"/>
        <v>45</v>
      </c>
      <c r="AF8" s="44"/>
      <c r="AG8" s="47"/>
      <c r="AH8" s="44"/>
      <c r="AI8" s="47"/>
      <c r="AJ8" s="44">
        <v>10.0</v>
      </c>
      <c r="AK8" s="47"/>
      <c r="AL8" s="44"/>
      <c r="AM8" s="49">
        <v>5.0</v>
      </c>
      <c r="AN8" s="23">
        <f t="shared" si="8"/>
        <v>15</v>
      </c>
      <c r="AO8" s="23"/>
      <c r="AP8" s="47"/>
      <c r="AQ8" s="44"/>
      <c r="AR8" s="47"/>
      <c r="AS8" s="44"/>
      <c r="AT8" s="14">
        <f t="shared" si="9"/>
        <v>0</v>
      </c>
      <c r="AU8" s="44">
        <v>2.0</v>
      </c>
      <c r="AV8" s="44">
        <f t="shared" si="10"/>
        <v>88.5</v>
      </c>
    </row>
    <row r="9" ht="14.25" customHeight="1">
      <c r="A9" s="45" t="s">
        <v>49</v>
      </c>
      <c r="B9" s="46">
        <v>1.0</v>
      </c>
      <c r="C9" s="47">
        <f t="shared" si="1"/>
        <v>8</v>
      </c>
      <c r="D9" s="44">
        <v>3.0</v>
      </c>
      <c r="E9" s="44">
        <f t="shared" si="2"/>
        <v>6</v>
      </c>
      <c r="F9" s="7">
        <f t="shared" si="3"/>
        <v>14</v>
      </c>
      <c r="G9" s="47">
        <v>5.0</v>
      </c>
      <c r="H9" s="47">
        <v>8.0</v>
      </c>
      <c r="I9" s="44">
        <v>1.0</v>
      </c>
      <c r="J9" s="44">
        <v>2.0</v>
      </c>
      <c r="K9" s="47">
        <v>0.0</v>
      </c>
      <c r="L9" s="47">
        <v>0.0</v>
      </c>
      <c r="M9" s="44">
        <v>4.0</v>
      </c>
      <c r="N9" s="44">
        <v>9.0</v>
      </c>
      <c r="O9" s="47">
        <v>4.0</v>
      </c>
      <c r="P9" s="47">
        <v>6.0</v>
      </c>
      <c r="Q9" s="9">
        <f t="shared" si="4"/>
        <v>25</v>
      </c>
      <c r="R9" s="44">
        <v>0.0</v>
      </c>
      <c r="S9" s="44">
        <v>0.0</v>
      </c>
      <c r="T9" s="47">
        <v>0.0</v>
      </c>
      <c r="U9" s="47">
        <v>0.0</v>
      </c>
      <c r="V9" s="44">
        <v>0.0</v>
      </c>
      <c r="W9" s="9">
        <f t="shared" si="5"/>
        <v>0</v>
      </c>
      <c r="X9" s="47">
        <v>0.0</v>
      </c>
      <c r="Y9" s="47">
        <v>0.0</v>
      </c>
      <c r="Z9" s="44">
        <v>0.0</v>
      </c>
      <c r="AA9" s="47">
        <v>0.0</v>
      </c>
      <c r="AB9" s="9">
        <f t="shared" si="6"/>
        <v>0</v>
      </c>
      <c r="AC9" s="48"/>
      <c r="AD9" s="47"/>
      <c r="AE9" s="22">
        <f t="shared" si="7"/>
        <v>0</v>
      </c>
      <c r="AF9" s="44"/>
      <c r="AG9" s="47"/>
      <c r="AH9" s="44"/>
      <c r="AI9" s="47">
        <v>15.0</v>
      </c>
      <c r="AJ9" s="44"/>
      <c r="AK9" s="47"/>
      <c r="AL9" s="44"/>
      <c r="AM9" s="49">
        <v>5.0</v>
      </c>
      <c r="AN9" s="23">
        <f t="shared" si="8"/>
        <v>20</v>
      </c>
      <c r="AO9" s="23"/>
      <c r="AP9" s="47"/>
      <c r="AQ9" s="44"/>
      <c r="AR9" s="47"/>
      <c r="AS9" s="44"/>
      <c r="AT9" s="14">
        <f t="shared" si="9"/>
        <v>0</v>
      </c>
      <c r="AU9" s="44">
        <v>2.0</v>
      </c>
      <c r="AV9" s="44">
        <f t="shared" si="10"/>
        <v>59</v>
      </c>
    </row>
    <row r="10" ht="14.25" customHeight="1">
      <c r="A10" s="45" t="s">
        <v>50</v>
      </c>
      <c r="B10" s="46">
        <v>1.0</v>
      </c>
      <c r="C10" s="47">
        <f t="shared" si="1"/>
        <v>8</v>
      </c>
      <c r="D10" s="44">
        <v>2.0</v>
      </c>
      <c r="E10" s="44">
        <f t="shared" si="2"/>
        <v>4</v>
      </c>
      <c r="F10" s="7">
        <f t="shared" si="3"/>
        <v>12</v>
      </c>
      <c r="G10" s="47">
        <v>3.0</v>
      </c>
      <c r="H10" s="47">
        <v>6.0</v>
      </c>
      <c r="I10" s="44">
        <v>0.0</v>
      </c>
      <c r="J10" s="44">
        <v>0.0</v>
      </c>
      <c r="K10" s="47">
        <v>0.0</v>
      </c>
      <c r="L10" s="47">
        <v>0.0</v>
      </c>
      <c r="M10" s="44">
        <v>5.0</v>
      </c>
      <c r="N10" s="44">
        <v>13.0</v>
      </c>
      <c r="O10" s="47">
        <v>4.0</v>
      </c>
      <c r="P10" s="47">
        <v>6.0</v>
      </c>
      <c r="Q10" s="9">
        <f t="shared" si="4"/>
        <v>25</v>
      </c>
      <c r="R10" s="44">
        <v>0.0</v>
      </c>
      <c r="S10" s="44">
        <v>0.0</v>
      </c>
      <c r="T10" s="47">
        <v>0.0</v>
      </c>
      <c r="U10" s="47">
        <v>0.0</v>
      </c>
      <c r="V10" s="44">
        <v>0.0</v>
      </c>
      <c r="W10" s="9">
        <f t="shared" si="5"/>
        <v>0</v>
      </c>
      <c r="X10" s="47">
        <v>0.0</v>
      </c>
      <c r="Y10" s="47">
        <v>0.0</v>
      </c>
      <c r="Z10" s="44">
        <v>0.0</v>
      </c>
      <c r="AA10" s="47">
        <v>0.0</v>
      </c>
      <c r="AB10" s="9">
        <f t="shared" si="6"/>
        <v>0</v>
      </c>
      <c r="AC10" s="48"/>
      <c r="AD10" s="47"/>
      <c r="AE10" s="22">
        <f t="shared" si="7"/>
        <v>0</v>
      </c>
      <c r="AF10" s="44">
        <v>20.0</v>
      </c>
      <c r="AG10" s="47"/>
      <c r="AH10" s="44"/>
      <c r="AI10" s="47"/>
      <c r="AJ10" s="44"/>
      <c r="AK10" s="47"/>
      <c r="AL10" s="44"/>
      <c r="AM10" s="49">
        <v>5.0</v>
      </c>
      <c r="AN10" s="23">
        <f t="shared" si="8"/>
        <v>25</v>
      </c>
      <c r="AO10" s="23"/>
      <c r="AP10" s="47"/>
      <c r="AQ10" s="44"/>
      <c r="AR10" s="47"/>
      <c r="AS10" s="44"/>
      <c r="AT10" s="14">
        <f t="shared" si="9"/>
        <v>0</v>
      </c>
      <c r="AU10" s="44">
        <v>2.0</v>
      </c>
      <c r="AV10" s="44">
        <f t="shared" si="10"/>
        <v>62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C3:AD3"/>
    <mergeCell ref="AF3:AM3"/>
    <mergeCell ref="B2:E3"/>
    <mergeCell ref="G2:P3"/>
    <mergeCell ref="R2:V3"/>
    <mergeCell ref="X2:AA3"/>
    <mergeCell ref="AC2:AO2"/>
    <mergeCell ref="AP2:AS3"/>
    <mergeCell ref="AU2:AU3"/>
    <mergeCell ref="R4:S4"/>
    <mergeCell ref="T4:U4"/>
    <mergeCell ref="X4:Y4"/>
    <mergeCell ref="B4:C4"/>
    <mergeCell ref="D4:E4"/>
    <mergeCell ref="G4:H4"/>
    <mergeCell ref="I4:J4"/>
    <mergeCell ref="K4:L4"/>
    <mergeCell ref="M4:N4"/>
    <mergeCell ref="O4:P4"/>
  </mergeCells>
  <conditionalFormatting sqref="AU6:AU10">
    <cfRule type="cellIs" dxfId="0" priority="1" operator="lessThan">
      <formula>1</formula>
    </cfRule>
  </conditionalFormatting>
  <conditionalFormatting sqref="AV6:AV10">
    <cfRule type="cellIs" dxfId="0" priority="2" operator="lessThan">
      <formula>55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86"/>
    <col customWidth="1" min="2" max="53" width="10.71"/>
  </cols>
  <sheetData>
    <row r="1" ht="14.25" customHeight="1">
      <c r="AS1" s="1"/>
      <c r="AT1" s="2"/>
    </row>
    <row r="2" ht="14.25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15"/>
      <c r="AV2" s="50"/>
      <c r="AW2" s="3"/>
      <c r="AX2" s="3"/>
      <c r="AY2" s="3"/>
      <c r="AZ2" s="3"/>
      <c r="BA2" s="3"/>
    </row>
    <row r="3" ht="14.25" customHeight="1">
      <c r="A3" s="2"/>
      <c r="B3" s="16"/>
      <c r="C3" s="17"/>
      <c r="D3" s="17"/>
      <c r="E3" s="18"/>
      <c r="F3" s="19"/>
      <c r="G3" s="16"/>
      <c r="H3" s="17"/>
      <c r="I3" s="17"/>
      <c r="J3" s="17"/>
      <c r="K3" s="17"/>
      <c r="L3" s="17"/>
      <c r="M3" s="17"/>
      <c r="N3" s="17"/>
      <c r="O3" s="17"/>
      <c r="P3" s="18"/>
      <c r="Q3" s="20"/>
      <c r="R3" s="16"/>
      <c r="S3" s="17"/>
      <c r="T3" s="17"/>
      <c r="U3" s="17"/>
      <c r="V3" s="18"/>
      <c r="W3" s="20"/>
      <c r="X3" s="16"/>
      <c r="Y3" s="17"/>
      <c r="Z3" s="17"/>
      <c r="AA3" s="18"/>
      <c r="AB3" s="20"/>
      <c r="AC3" s="21" t="s">
        <v>6</v>
      </c>
      <c r="AD3" s="12"/>
      <c r="AE3" s="22"/>
      <c r="AF3" s="21" t="s">
        <v>7</v>
      </c>
      <c r="AG3" s="11"/>
      <c r="AH3" s="11"/>
      <c r="AI3" s="11"/>
      <c r="AJ3" s="11"/>
      <c r="AK3" s="11"/>
      <c r="AL3" s="11"/>
      <c r="AM3" s="12"/>
      <c r="AN3" s="23"/>
      <c r="AO3" s="24" t="s">
        <v>8</v>
      </c>
      <c r="AP3" s="16"/>
      <c r="AQ3" s="17"/>
      <c r="AR3" s="17"/>
      <c r="AS3" s="18"/>
      <c r="AT3" s="25"/>
      <c r="AU3" s="26"/>
      <c r="AV3" s="50"/>
      <c r="AW3" s="2"/>
      <c r="AX3" s="2"/>
      <c r="AY3" s="2"/>
      <c r="AZ3" s="2"/>
      <c r="BA3" s="2"/>
    </row>
    <row r="4" ht="14.25" customHeight="1">
      <c r="A4" s="27" t="s">
        <v>51</v>
      </c>
      <c r="B4" s="28" t="s">
        <v>10</v>
      </c>
      <c r="C4" s="29"/>
      <c r="D4" s="28" t="s">
        <v>11</v>
      </c>
      <c r="E4" s="29"/>
      <c r="F4" s="30" t="s">
        <v>0</v>
      </c>
      <c r="G4" s="31" t="s">
        <v>12</v>
      </c>
      <c r="H4" s="12"/>
      <c r="I4" s="31" t="s">
        <v>13</v>
      </c>
      <c r="J4" s="12"/>
      <c r="K4" s="31" t="s">
        <v>14</v>
      </c>
      <c r="L4" s="12"/>
      <c r="M4" s="31" t="s">
        <v>15</v>
      </c>
      <c r="N4" s="12"/>
      <c r="O4" s="31" t="s">
        <v>16</v>
      </c>
      <c r="P4" s="12"/>
      <c r="Q4" s="32" t="s">
        <v>17</v>
      </c>
      <c r="R4" s="31" t="s">
        <v>18</v>
      </c>
      <c r="S4" s="12"/>
      <c r="T4" s="31" t="s">
        <v>19</v>
      </c>
      <c r="U4" s="12"/>
      <c r="V4" s="33" t="s">
        <v>20</v>
      </c>
      <c r="W4" s="32" t="s">
        <v>2</v>
      </c>
      <c r="X4" s="31" t="s">
        <v>21</v>
      </c>
      <c r="Y4" s="12"/>
      <c r="Z4" s="33" t="s">
        <v>22</v>
      </c>
      <c r="AA4" s="33" t="s">
        <v>23</v>
      </c>
      <c r="AB4" s="34" t="s">
        <v>3</v>
      </c>
      <c r="AC4" s="35" t="s">
        <v>24</v>
      </c>
      <c r="AD4" s="35" t="s">
        <v>25</v>
      </c>
      <c r="AE4" s="35" t="s">
        <v>6</v>
      </c>
      <c r="AF4" s="35" t="s">
        <v>26</v>
      </c>
      <c r="AG4" s="35" t="s">
        <v>27</v>
      </c>
      <c r="AH4" s="35" t="s">
        <v>28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33</v>
      </c>
      <c r="AN4" s="35" t="s">
        <v>7</v>
      </c>
      <c r="AO4" s="35" t="s">
        <v>34</v>
      </c>
      <c r="AP4" s="36" t="s">
        <v>35</v>
      </c>
      <c r="AQ4" s="36" t="s">
        <v>36</v>
      </c>
      <c r="AR4" s="36" t="s">
        <v>37</v>
      </c>
      <c r="AS4" s="36" t="s">
        <v>38</v>
      </c>
      <c r="AT4" s="36" t="s">
        <v>39</v>
      </c>
      <c r="AU4" s="37" t="s">
        <v>40</v>
      </c>
      <c r="AV4" s="51" t="s">
        <v>52</v>
      </c>
      <c r="AW4" s="38" t="s">
        <v>53</v>
      </c>
      <c r="AX4" s="2"/>
      <c r="AY4" s="2"/>
      <c r="AZ4" s="2"/>
      <c r="BA4" s="2"/>
    </row>
    <row r="5" ht="14.25" customHeight="1">
      <c r="A5" s="39" t="s">
        <v>42</v>
      </c>
      <c r="B5" s="40" t="s">
        <v>43</v>
      </c>
      <c r="C5" s="40" t="s">
        <v>44</v>
      </c>
      <c r="D5" s="40" t="s">
        <v>43</v>
      </c>
      <c r="E5" s="40" t="s">
        <v>44</v>
      </c>
      <c r="F5" s="40" t="s">
        <v>45</v>
      </c>
      <c r="G5" s="41" t="s">
        <v>43</v>
      </c>
      <c r="H5" s="41" t="s">
        <v>44</v>
      </c>
      <c r="I5" s="41" t="s">
        <v>43</v>
      </c>
      <c r="J5" s="41" t="s">
        <v>44</v>
      </c>
      <c r="K5" s="41" t="s">
        <v>43</v>
      </c>
      <c r="L5" s="41" t="s">
        <v>44</v>
      </c>
      <c r="M5" s="41" t="s">
        <v>43</v>
      </c>
      <c r="N5" s="41" t="s">
        <v>44</v>
      </c>
      <c r="O5" s="41" t="s">
        <v>43</v>
      </c>
      <c r="P5" s="41" t="s">
        <v>44</v>
      </c>
      <c r="Q5" s="41" t="s">
        <v>45</v>
      </c>
      <c r="R5" s="41" t="s">
        <v>43</v>
      </c>
      <c r="S5" s="41" t="s">
        <v>44</v>
      </c>
      <c r="T5" s="41" t="s">
        <v>43</v>
      </c>
      <c r="U5" s="41" t="s">
        <v>44</v>
      </c>
      <c r="V5" s="41" t="s">
        <v>44</v>
      </c>
      <c r="W5" s="41" t="s">
        <v>45</v>
      </c>
      <c r="X5" s="41" t="s">
        <v>43</v>
      </c>
      <c r="Y5" s="41" t="s">
        <v>44</v>
      </c>
      <c r="Z5" s="41" t="s">
        <v>44</v>
      </c>
      <c r="AA5" s="41" t="s">
        <v>44</v>
      </c>
      <c r="AB5" s="41" t="s">
        <v>45</v>
      </c>
      <c r="AC5" s="24" t="s">
        <v>44</v>
      </c>
      <c r="AD5" s="24" t="s">
        <v>44</v>
      </c>
      <c r="AE5" s="24" t="s">
        <v>45</v>
      </c>
      <c r="AF5" s="24" t="s">
        <v>44</v>
      </c>
      <c r="AG5" s="24" t="s">
        <v>44</v>
      </c>
      <c r="AH5" s="24" t="s">
        <v>44</v>
      </c>
      <c r="AI5" s="24" t="s">
        <v>44</v>
      </c>
      <c r="AJ5" s="24" t="s">
        <v>44</v>
      </c>
      <c r="AK5" s="24" t="s">
        <v>44</v>
      </c>
      <c r="AL5" s="24" t="s">
        <v>44</v>
      </c>
      <c r="AM5" s="24" t="s">
        <v>44</v>
      </c>
      <c r="AN5" s="24" t="s">
        <v>45</v>
      </c>
      <c r="AO5" s="24" t="s">
        <v>44</v>
      </c>
      <c r="AP5" s="42" t="s">
        <v>44</v>
      </c>
      <c r="AQ5" s="42" t="s">
        <v>44</v>
      </c>
      <c r="AR5" s="42" t="s">
        <v>44</v>
      </c>
      <c r="AS5" s="42" t="s">
        <v>44</v>
      </c>
      <c r="AT5" s="42" t="s">
        <v>45</v>
      </c>
      <c r="AU5" s="43"/>
      <c r="AV5" s="52"/>
      <c r="AW5" s="44" t="s">
        <v>45</v>
      </c>
      <c r="AX5" s="53"/>
      <c r="AY5" s="53"/>
      <c r="AZ5" s="53"/>
      <c r="BA5" s="53"/>
    </row>
    <row r="6" ht="14.25" customHeight="1">
      <c r="A6" s="45" t="s">
        <v>46</v>
      </c>
      <c r="B6" s="46">
        <v>1.0</v>
      </c>
      <c r="C6" s="47">
        <f t="shared" ref="C6:C10" si="1">B6*8</f>
        <v>8</v>
      </c>
      <c r="D6" s="44">
        <v>1.0</v>
      </c>
      <c r="E6" s="44">
        <f t="shared" ref="E6:E10" si="2">D6*2.5</f>
        <v>2.5</v>
      </c>
      <c r="F6" s="7">
        <f t="shared" ref="F6:F10" si="3">SUM(C6,E6)</f>
        <v>10.5</v>
      </c>
      <c r="G6" s="47">
        <v>2.0</v>
      </c>
      <c r="H6" s="47">
        <v>4.0</v>
      </c>
      <c r="I6" s="44"/>
      <c r="J6" s="44"/>
      <c r="K6" s="47"/>
      <c r="L6" s="47"/>
      <c r="M6" s="44"/>
      <c r="N6" s="44"/>
      <c r="O6" s="47"/>
      <c r="P6" s="47"/>
      <c r="Q6" s="9">
        <f t="shared" ref="Q6:Q10" si="4">SUM(H6,J6,L6,N6,P6)</f>
        <v>4</v>
      </c>
      <c r="R6" s="44"/>
      <c r="S6" s="44"/>
      <c r="T6" s="47"/>
      <c r="U6" s="47"/>
      <c r="V6" s="44"/>
      <c r="W6" s="9">
        <f t="shared" ref="W6:W10" si="5">SUM(S6,U6,V6)</f>
        <v>0</v>
      </c>
      <c r="X6" s="47">
        <v>1.0</v>
      </c>
      <c r="Y6" s="47">
        <v>2.0</v>
      </c>
      <c r="Z6" s="44">
        <v>2.0</v>
      </c>
      <c r="AA6" s="47"/>
      <c r="AB6" s="9">
        <f t="shared" ref="AB6:AB10" si="6">SUM(Y6,Z6,AA6)</f>
        <v>4</v>
      </c>
      <c r="AC6" s="54">
        <v>61.0</v>
      </c>
      <c r="AD6" s="47"/>
      <c r="AE6" s="22">
        <f t="shared" ref="AE6:AE10" si="7">SUM(AC6,AD6)</f>
        <v>61</v>
      </c>
      <c r="AF6" s="44"/>
      <c r="AG6" s="47">
        <v>20.0</v>
      </c>
      <c r="AH6" s="44"/>
      <c r="AI6" s="47"/>
      <c r="AJ6" s="44"/>
      <c r="AK6" s="47"/>
      <c r="AL6" s="44"/>
      <c r="AM6" s="55"/>
      <c r="AN6" s="23">
        <f t="shared" ref="AN6:AN10" si="8">SUM(AF6:AM6)</f>
        <v>20</v>
      </c>
      <c r="AO6" s="23"/>
      <c r="AP6" s="47"/>
      <c r="AQ6" s="44"/>
      <c r="AR6" s="47">
        <v>18.0</v>
      </c>
      <c r="AS6" s="44"/>
      <c r="AT6" s="14">
        <f t="shared" ref="AT6:AT10" si="9">SUM(AP6:AS6)</f>
        <v>18</v>
      </c>
      <c r="AU6" s="44">
        <v>2.0</v>
      </c>
      <c r="AV6" s="44">
        <v>3.0</v>
      </c>
      <c r="AW6" s="44">
        <f t="shared" ref="AW6:AW10" si="10">SUM(F6,Q6,W6,AB6,AE6,AN6,AO6,AT6)</f>
        <v>117.5</v>
      </c>
    </row>
    <row r="7" ht="14.25" customHeight="1">
      <c r="A7" s="45" t="s">
        <v>47</v>
      </c>
      <c r="B7" s="46"/>
      <c r="C7" s="47">
        <f t="shared" si="1"/>
        <v>0</v>
      </c>
      <c r="D7" s="44">
        <v>1.0</v>
      </c>
      <c r="E7" s="44">
        <f t="shared" si="2"/>
        <v>2.5</v>
      </c>
      <c r="F7" s="7">
        <f t="shared" si="3"/>
        <v>2.5</v>
      </c>
      <c r="G7" s="47">
        <v>2.0</v>
      </c>
      <c r="H7" s="47">
        <v>4.0</v>
      </c>
      <c r="I7" s="44"/>
      <c r="J7" s="44"/>
      <c r="K7" s="47"/>
      <c r="L7" s="47"/>
      <c r="M7" s="44"/>
      <c r="N7" s="44"/>
      <c r="O7" s="47"/>
      <c r="P7" s="47"/>
      <c r="Q7" s="9">
        <f t="shared" si="4"/>
        <v>4</v>
      </c>
      <c r="R7" s="44">
        <v>1.0</v>
      </c>
      <c r="S7" s="44">
        <v>3.0</v>
      </c>
      <c r="T7" s="47">
        <v>1.0</v>
      </c>
      <c r="U7" s="47">
        <v>2.0</v>
      </c>
      <c r="V7" s="44"/>
      <c r="W7" s="9">
        <f t="shared" si="5"/>
        <v>5</v>
      </c>
      <c r="X7" s="47">
        <v>1.0</v>
      </c>
      <c r="Y7" s="47">
        <v>2.0</v>
      </c>
      <c r="Z7" s="44">
        <v>2.0</v>
      </c>
      <c r="AA7" s="47"/>
      <c r="AB7" s="9">
        <f t="shared" si="6"/>
        <v>4</v>
      </c>
      <c r="AC7" s="54">
        <v>72.0</v>
      </c>
      <c r="AD7" s="47"/>
      <c r="AE7" s="22">
        <f t="shared" si="7"/>
        <v>72</v>
      </c>
      <c r="AF7" s="44"/>
      <c r="AG7" s="47"/>
      <c r="AH7" s="44"/>
      <c r="AI7" s="47"/>
      <c r="AJ7" s="44"/>
      <c r="AK7" s="47"/>
      <c r="AL7" s="44"/>
      <c r="AM7" s="55"/>
      <c r="AN7" s="23">
        <f t="shared" si="8"/>
        <v>0</v>
      </c>
      <c r="AO7" s="23"/>
      <c r="AP7" s="47"/>
      <c r="AQ7" s="44"/>
      <c r="AR7" s="47">
        <v>18.0</v>
      </c>
      <c r="AS7" s="44">
        <v>3.0</v>
      </c>
      <c r="AT7" s="14">
        <f t="shared" si="9"/>
        <v>21</v>
      </c>
      <c r="AU7" s="44">
        <v>2.0</v>
      </c>
      <c r="AV7" s="44">
        <v>3.0</v>
      </c>
      <c r="AW7" s="44">
        <f t="shared" si="10"/>
        <v>108.5</v>
      </c>
    </row>
    <row r="8" ht="14.25" customHeight="1">
      <c r="A8" s="45" t="s">
        <v>48</v>
      </c>
      <c r="B8" s="46">
        <v>1.0</v>
      </c>
      <c r="C8" s="47">
        <f t="shared" si="1"/>
        <v>8</v>
      </c>
      <c r="D8" s="44">
        <v>2.0</v>
      </c>
      <c r="E8" s="44">
        <f t="shared" si="2"/>
        <v>5</v>
      </c>
      <c r="F8" s="7">
        <f t="shared" si="3"/>
        <v>13</v>
      </c>
      <c r="G8" s="47">
        <v>2.0</v>
      </c>
      <c r="H8" s="47">
        <v>2.0</v>
      </c>
      <c r="I8" s="44">
        <v>1.0</v>
      </c>
      <c r="J8" s="44">
        <v>4.0</v>
      </c>
      <c r="K8" s="47">
        <v>1.0</v>
      </c>
      <c r="L8" s="47">
        <v>1.0</v>
      </c>
      <c r="M8" s="44">
        <v>4.0</v>
      </c>
      <c r="N8" s="44">
        <v>9.0</v>
      </c>
      <c r="O8" s="47">
        <v>4.0</v>
      </c>
      <c r="P8" s="47">
        <v>6.0</v>
      </c>
      <c r="Q8" s="9">
        <f t="shared" si="4"/>
        <v>22</v>
      </c>
      <c r="R8" s="44">
        <v>1.0</v>
      </c>
      <c r="S8" s="44">
        <v>3.0</v>
      </c>
      <c r="T8" s="47">
        <v>1.0</v>
      </c>
      <c r="U8" s="47">
        <v>2.0</v>
      </c>
      <c r="V8" s="44"/>
      <c r="W8" s="9">
        <f t="shared" si="5"/>
        <v>5</v>
      </c>
      <c r="X8" s="47">
        <v>1.0</v>
      </c>
      <c r="Y8" s="47">
        <v>3.0</v>
      </c>
      <c r="Z8" s="44">
        <v>2.0</v>
      </c>
      <c r="AA8" s="47"/>
      <c r="AB8" s="9">
        <f t="shared" si="6"/>
        <v>5</v>
      </c>
      <c r="AC8" s="54">
        <v>45.0</v>
      </c>
      <c r="AD8" s="47"/>
      <c r="AE8" s="22">
        <f t="shared" si="7"/>
        <v>45</v>
      </c>
      <c r="AF8" s="44"/>
      <c r="AG8" s="47"/>
      <c r="AH8" s="44"/>
      <c r="AI8" s="47"/>
      <c r="AJ8" s="44"/>
      <c r="AK8" s="47"/>
      <c r="AL8" s="44"/>
      <c r="AM8" s="55">
        <v>2.5</v>
      </c>
      <c r="AN8" s="23">
        <f t="shared" si="8"/>
        <v>2.5</v>
      </c>
      <c r="AO8" s="23"/>
      <c r="AP8" s="47"/>
      <c r="AQ8" s="44"/>
      <c r="AR8" s="47">
        <v>3.0</v>
      </c>
      <c r="AS8" s="44"/>
      <c r="AT8" s="14">
        <f t="shared" si="9"/>
        <v>3</v>
      </c>
      <c r="AU8" s="44">
        <v>2.0</v>
      </c>
      <c r="AV8" s="44">
        <v>3.0</v>
      </c>
      <c r="AW8" s="44">
        <f t="shared" si="10"/>
        <v>95.5</v>
      </c>
    </row>
    <row r="9" ht="14.25" customHeight="1">
      <c r="A9" s="45" t="s">
        <v>49</v>
      </c>
      <c r="B9" s="46">
        <v>1.0</v>
      </c>
      <c r="C9" s="47">
        <f t="shared" si="1"/>
        <v>8</v>
      </c>
      <c r="D9" s="44">
        <v>3.0</v>
      </c>
      <c r="E9" s="44">
        <f t="shared" si="2"/>
        <v>7.5</v>
      </c>
      <c r="F9" s="7">
        <f t="shared" si="3"/>
        <v>15.5</v>
      </c>
      <c r="G9" s="47"/>
      <c r="H9" s="47"/>
      <c r="I9" s="44">
        <v>1.0</v>
      </c>
      <c r="J9" s="44">
        <v>3.0</v>
      </c>
      <c r="K9" s="47"/>
      <c r="L9" s="47"/>
      <c r="M9" s="44">
        <v>1.0</v>
      </c>
      <c r="N9" s="44">
        <v>3.0</v>
      </c>
      <c r="O9" s="47">
        <v>1.0</v>
      </c>
      <c r="P9" s="47">
        <v>1.5</v>
      </c>
      <c r="Q9" s="9">
        <f t="shared" si="4"/>
        <v>7.5</v>
      </c>
      <c r="R9" s="44">
        <v>1.0</v>
      </c>
      <c r="S9" s="44">
        <v>3.0</v>
      </c>
      <c r="T9" s="47">
        <v>1.0</v>
      </c>
      <c r="U9" s="47">
        <v>2.0</v>
      </c>
      <c r="V9" s="44"/>
      <c r="W9" s="9">
        <f t="shared" si="5"/>
        <v>5</v>
      </c>
      <c r="X9" s="47">
        <v>2.0</v>
      </c>
      <c r="Y9" s="47">
        <v>4.5</v>
      </c>
      <c r="Z9" s="44">
        <v>3.5</v>
      </c>
      <c r="AA9" s="47"/>
      <c r="AB9" s="9">
        <f t="shared" si="6"/>
        <v>8</v>
      </c>
      <c r="AC9" s="54">
        <v>21.0</v>
      </c>
      <c r="AD9" s="47"/>
      <c r="AE9" s="22">
        <f t="shared" si="7"/>
        <v>21</v>
      </c>
      <c r="AF9" s="44"/>
      <c r="AG9" s="47"/>
      <c r="AH9" s="44"/>
      <c r="AI9" s="47"/>
      <c r="AJ9" s="44"/>
      <c r="AK9" s="47"/>
      <c r="AL9" s="44"/>
      <c r="AM9" s="55">
        <v>5.0</v>
      </c>
      <c r="AN9" s="23">
        <f t="shared" si="8"/>
        <v>5</v>
      </c>
      <c r="AO9" s="23"/>
      <c r="AP9" s="47"/>
      <c r="AQ9" s="44"/>
      <c r="AR9" s="47"/>
      <c r="AS9" s="44"/>
      <c r="AT9" s="14">
        <f t="shared" si="9"/>
        <v>0</v>
      </c>
      <c r="AU9" s="44">
        <v>2.0</v>
      </c>
      <c r="AV9" s="44">
        <v>3.0</v>
      </c>
      <c r="AW9" s="44">
        <f t="shared" si="10"/>
        <v>62</v>
      </c>
    </row>
    <row r="10" ht="14.25" customHeight="1">
      <c r="A10" s="45" t="s">
        <v>50</v>
      </c>
      <c r="B10" s="46">
        <v>1.0</v>
      </c>
      <c r="C10" s="47">
        <f t="shared" si="1"/>
        <v>8</v>
      </c>
      <c r="D10" s="44">
        <v>2.0</v>
      </c>
      <c r="E10" s="44">
        <f t="shared" si="2"/>
        <v>5</v>
      </c>
      <c r="F10" s="7">
        <f t="shared" si="3"/>
        <v>13</v>
      </c>
      <c r="G10" s="47">
        <v>3.0</v>
      </c>
      <c r="H10" s="47">
        <v>5.0</v>
      </c>
      <c r="I10" s="44"/>
      <c r="J10" s="44"/>
      <c r="K10" s="47"/>
      <c r="L10" s="47"/>
      <c r="M10" s="44">
        <v>3.0</v>
      </c>
      <c r="N10" s="44">
        <v>7.0</v>
      </c>
      <c r="O10" s="47">
        <v>2.0</v>
      </c>
      <c r="P10" s="47">
        <v>3.0</v>
      </c>
      <c r="Q10" s="9">
        <f t="shared" si="4"/>
        <v>15</v>
      </c>
      <c r="R10" s="44"/>
      <c r="S10" s="44"/>
      <c r="T10" s="47"/>
      <c r="U10" s="47"/>
      <c r="V10" s="44"/>
      <c r="W10" s="9">
        <f t="shared" si="5"/>
        <v>0</v>
      </c>
      <c r="X10" s="47">
        <v>1.0</v>
      </c>
      <c r="Y10" s="47">
        <v>3.0</v>
      </c>
      <c r="Z10" s="44">
        <v>2.0</v>
      </c>
      <c r="AA10" s="47"/>
      <c r="AB10" s="9">
        <f t="shared" si="6"/>
        <v>5</v>
      </c>
      <c r="AC10" s="54"/>
      <c r="AD10" s="47"/>
      <c r="AE10" s="22">
        <f t="shared" si="7"/>
        <v>0</v>
      </c>
      <c r="AF10" s="44">
        <v>40.0</v>
      </c>
      <c r="AG10" s="47"/>
      <c r="AH10" s="44"/>
      <c r="AI10" s="47"/>
      <c r="AJ10" s="44"/>
      <c r="AK10" s="47"/>
      <c r="AL10" s="44"/>
      <c r="AM10" s="55"/>
      <c r="AN10" s="23">
        <f t="shared" si="8"/>
        <v>40</v>
      </c>
      <c r="AO10" s="23"/>
      <c r="AP10" s="47"/>
      <c r="AQ10" s="44"/>
      <c r="AR10" s="47"/>
      <c r="AS10" s="44"/>
      <c r="AT10" s="14">
        <f t="shared" si="9"/>
        <v>0</v>
      </c>
      <c r="AU10" s="44">
        <v>2.0</v>
      </c>
      <c r="AV10" s="44">
        <v>3.0</v>
      </c>
      <c r="AW10" s="44">
        <f t="shared" si="10"/>
        <v>73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C3:AD3"/>
    <mergeCell ref="AF3:AM3"/>
    <mergeCell ref="B2:E3"/>
    <mergeCell ref="G2:P3"/>
    <mergeCell ref="R2:V3"/>
    <mergeCell ref="X2:AA3"/>
    <mergeCell ref="AC2:AO2"/>
    <mergeCell ref="AP2:AS3"/>
    <mergeCell ref="AU2:AU3"/>
    <mergeCell ref="R4:S4"/>
    <mergeCell ref="T4:U4"/>
    <mergeCell ref="X4:Y4"/>
    <mergeCell ref="B4:C4"/>
    <mergeCell ref="D4:E4"/>
    <mergeCell ref="G4:H4"/>
    <mergeCell ref="I4:J4"/>
    <mergeCell ref="K4:L4"/>
    <mergeCell ref="M4:N4"/>
    <mergeCell ref="O4:P4"/>
  </mergeCells>
  <conditionalFormatting sqref="AU6:AV10">
    <cfRule type="cellIs" dxfId="0" priority="1" operator="lessThan">
      <formula>2</formula>
    </cfRule>
  </conditionalFormatting>
  <conditionalFormatting sqref="AV6:AV10">
    <cfRule type="cellIs" dxfId="0" priority="2" operator="lessThan">
      <formula>3</formula>
    </cfRule>
  </conditionalFormatting>
  <conditionalFormatting sqref="AW6:AW10">
    <cfRule type="cellIs" dxfId="0" priority="3" operator="lessThan">
      <formula>60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86"/>
    <col customWidth="1" min="2" max="49" width="10.71"/>
  </cols>
  <sheetData>
    <row r="1" ht="14.25" customHeight="1">
      <c r="AS1" s="1"/>
      <c r="AT1" s="2"/>
    </row>
    <row r="2" ht="14.25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15"/>
      <c r="AV2" s="50"/>
      <c r="AW2" s="3"/>
    </row>
    <row r="3" ht="14.25" customHeight="1">
      <c r="A3" s="2"/>
      <c r="B3" s="16"/>
      <c r="C3" s="17"/>
      <c r="D3" s="17"/>
      <c r="E3" s="18"/>
      <c r="F3" s="19"/>
      <c r="G3" s="16"/>
      <c r="H3" s="17"/>
      <c r="I3" s="17"/>
      <c r="J3" s="17"/>
      <c r="K3" s="17"/>
      <c r="L3" s="17"/>
      <c r="M3" s="17"/>
      <c r="N3" s="17"/>
      <c r="O3" s="17"/>
      <c r="P3" s="18"/>
      <c r="Q3" s="20"/>
      <c r="R3" s="16"/>
      <c r="S3" s="17"/>
      <c r="T3" s="17"/>
      <c r="U3" s="17"/>
      <c r="V3" s="18"/>
      <c r="W3" s="20"/>
      <c r="X3" s="16"/>
      <c r="Y3" s="17"/>
      <c r="Z3" s="17"/>
      <c r="AA3" s="18"/>
      <c r="AB3" s="20"/>
      <c r="AC3" s="21" t="s">
        <v>6</v>
      </c>
      <c r="AD3" s="12"/>
      <c r="AE3" s="22"/>
      <c r="AF3" s="21" t="s">
        <v>7</v>
      </c>
      <c r="AG3" s="11"/>
      <c r="AH3" s="11"/>
      <c r="AI3" s="11"/>
      <c r="AJ3" s="11"/>
      <c r="AK3" s="11"/>
      <c r="AL3" s="11"/>
      <c r="AM3" s="12"/>
      <c r="AN3" s="23"/>
      <c r="AO3" s="24" t="s">
        <v>8</v>
      </c>
      <c r="AP3" s="16"/>
      <c r="AQ3" s="17"/>
      <c r="AR3" s="17"/>
      <c r="AS3" s="18"/>
      <c r="AT3" s="25"/>
      <c r="AU3" s="26"/>
      <c r="AV3" s="50"/>
      <c r="AW3" s="2"/>
    </row>
    <row r="4" ht="14.25" customHeight="1">
      <c r="A4" s="27" t="s">
        <v>54</v>
      </c>
      <c r="B4" s="28" t="s">
        <v>10</v>
      </c>
      <c r="C4" s="29"/>
      <c r="D4" s="28" t="s">
        <v>11</v>
      </c>
      <c r="E4" s="29"/>
      <c r="F4" s="30" t="s">
        <v>0</v>
      </c>
      <c r="G4" s="31" t="s">
        <v>12</v>
      </c>
      <c r="H4" s="12"/>
      <c r="I4" s="31" t="s">
        <v>13</v>
      </c>
      <c r="J4" s="12"/>
      <c r="K4" s="31" t="s">
        <v>14</v>
      </c>
      <c r="L4" s="12"/>
      <c r="M4" s="31" t="s">
        <v>15</v>
      </c>
      <c r="N4" s="12"/>
      <c r="O4" s="31" t="s">
        <v>16</v>
      </c>
      <c r="P4" s="12"/>
      <c r="Q4" s="32" t="s">
        <v>17</v>
      </c>
      <c r="R4" s="31" t="s">
        <v>18</v>
      </c>
      <c r="S4" s="12"/>
      <c r="T4" s="31" t="s">
        <v>19</v>
      </c>
      <c r="U4" s="12"/>
      <c r="V4" s="33" t="s">
        <v>20</v>
      </c>
      <c r="W4" s="32" t="s">
        <v>2</v>
      </c>
      <c r="X4" s="31" t="s">
        <v>21</v>
      </c>
      <c r="Y4" s="12"/>
      <c r="Z4" s="33" t="s">
        <v>22</v>
      </c>
      <c r="AA4" s="33" t="s">
        <v>23</v>
      </c>
      <c r="AB4" s="34" t="s">
        <v>3</v>
      </c>
      <c r="AC4" s="35" t="s">
        <v>24</v>
      </c>
      <c r="AD4" s="35" t="s">
        <v>25</v>
      </c>
      <c r="AE4" s="35" t="s">
        <v>6</v>
      </c>
      <c r="AF4" s="35" t="s">
        <v>26</v>
      </c>
      <c r="AG4" s="35" t="s">
        <v>27</v>
      </c>
      <c r="AH4" s="35" t="s">
        <v>28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33</v>
      </c>
      <c r="AN4" s="35" t="s">
        <v>7</v>
      </c>
      <c r="AO4" s="35" t="s">
        <v>34</v>
      </c>
      <c r="AP4" s="36" t="s">
        <v>35</v>
      </c>
      <c r="AQ4" s="36" t="s">
        <v>36</v>
      </c>
      <c r="AR4" s="36" t="s">
        <v>37</v>
      </c>
      <c r="AS4" s="36" t="s">
        <v>38</v>
      </c>
      <c r="AT4" s="36" t="s">
        <v>39</v>
      </c>
      <c r="AU4" s="37" t="s">
        <v>40</v>
      </c>
      <c r="AV4" s="51" t="s">
        <v>52</v>
      </c>
      <c r="AW4" s="38" t="s">
        <v>55</v>
      </c>
    </row>
    <row r="5" ht="14.25" customHeight="1">
      <c r="A5" s="39" t="s">
        <v>42</v>
      </c>
      <c r="B5" s="40" t="s">
        <v>43</v>
      </c>
      <c r="C5" s="40" t="s">
        <v>44</v>
      </c>
      <c r="D5" s="40" t="s">
        <v>43</v>
      </c>
      <c r="E5" s="40" t="s">
        <v>44</v>
      </c>
      <c r="F5" s="40" t="s">
        <v>45</v>
      </c>
      <c r="G5" s="41" t="s">
        <v>43</v>
      </c>
      <c r="H5" s="41" t="s">
        <v>44</v>
      </c>
      <c r="I5" s="41" t="s">
        <v>43</v>
      </c>
      <c r="J5" s="41" t="s">
        <v>44</v>
      </c>
      <c r="K5" s="41" t="s">
        <v>43</v>
      </c>
      <c r="L5" s="41" t="s">
        <v>44</v>
      </c>
      <c r="M5" s="41" t="s">
        <v>43</v>
      </c>
      <c r="N5" s="41" t="s">
        <v>44</v>
      </c>
      <c r="O5" s="41" t="s">
        <v>43</v>
      </c>
      <c r="P5" s="41" t="s">
        <v>44</v>
      </c>
      <c r="Q5" s="41" t="s">
        <v>45</v>
      </c>
      <c r="R5" s="41" t="s">
        <v>43</v>
      </c>
      <c r="S5" s="41" t="s">
        <v>44</v>
      </c>
      <c r="T5" s="41" t="s">
        <v>43</v>
      </c>
      <c r="U5" s="41" t="s">
        <v>44</v>
      </c>
      <c r="V5" s="41" t="s">
        <v>44</v>
      </c>
      <c r="W5" s="41" t="s">
        <v>45</v>
      </c>
      <c r="X5" s="41" t="s">
        <v>43</v>
      </c>
      <c r="Y5" s="41" t="s">
        <v>44</v>
      </c>
      <c r="Z5" s="41" t="s">
        <v>44</v>
      </c>
      <c r="AA5" s="41" t="s">
        <v>44</v>
      </c>
      <c r="AB5" s="41" t="s">
        <v>45</v>
      </c>
      <c r="AC5" s="24" t="s">
        <v>44</v>
      </c>
      <c r="AD5" s="24" t="s">
        <v>44</v>
      </c>
      <c r="AE5" s="24" t="s">
        <v>45</v>
      </c>
      <c r="AF5" s="24" t="s">
        <v>44</v>
      </c>
      <c r="AG5" s="24" t="s">
        <v>44</v>
      </c>
      <c r="AH5" s="24" t="s">
        <v>44</v>
      </c>
      <c r="AI5" s="24" t="s">
        <v>44</v>
      </c>
      <c r="AJ5" s="24" t="s">
        <v>44</v>
      </c>
      <c r="AK5" s="24" t="s">
        <v>44</v>
      </c>
      <c r="AL5" s="24" t="s">
        <v>44</v>
      </c>
      <c r="AM5" s="24" t="s">
        <v>44</v>
      </c>
      <c r="AN5" s="24" t="s">
        <v>45</v>
      </c>
      <c r="AO5" s="24" t="s">
        <v>44</v>
      </c>
      <c r="AP5" s="42" t="s">
        <v>44</v>
      </c>
      <c r="AQ5" s="42" t="s">
        <v>44</v>
      </c>
      <c r="AR5" s="42" t="s">
        <v>44</v>
      </c>
      <c r="AS5" s="42" t="s">
        <v>44</v>
      </c>
      <c r="AT5" s="42" t="s">
        <v>45</v>
      </c>
      <c r="AU5" s="43" t="s">
        <v>43</v>
      </c>
      <c r="AV5" s="52" t="s">
        <v>43</v>
      </c>
      <c r="AW5" s="44" t="s">
        <v>45</v>
      </c>
    </row>
    <row r="6" ht="14.25" customHeight="1">
      <c r="A6" s="45" t="s">
        <v>46</v>
      </c>
      <c r="B6" s="46">
        <v>0.0</v>
      </c>
      <c r="C6" s="47">
        <f t="shared" ref="C6:C10" si="1">B6*8</f>
        <v>0</v>
      </c>
      <c r="D6" s="44">
        <v>2.0</v>
      </c>
      <c r="E6" s="44">
        <f t="shared" ref="E6:E10" si="2">D6*2.5</f>
        <v>5</v>
      </c>
      <c r="F6" s="7">
        <f t="shared" ref="F6:F10" si="3">SUM(C6,E6)</f>
        <v>5</v>
      </c>
      <c r="G6" s="47">
        <v>6.0</v>
      </c>
      <c r="H6" s="47">
        <v>15.0</v>
      </c>
      <c r="I6" s="44">
        <v>1.0</v>
      </c>
      <c r="J6" s="44">
        <v>3.0</v>
      </c>
      <c r="K6" s="47">
        <v>1.0</v>
      </c>
      <c r="L6" s="47">
        <v>1.0</v>
      </c>
      <c r="M6" s="44">
        <v>1.0</v>
      </c>
      <c r="N6" s="44">
        <v>2.5</v>
      </c>
      <c r="O6" s="47">
        <v>1.0</v>
      </c>
      <c r="P6" s="47">
        <v>1.5</v>
      </c>
      <c r="Q6" s="9">
        <f t="shared" ref="Q6:Q10" si="4">SUM(H6,J6,L6,N6,P6)</f>
        <v>23</v>
      </c>
      <c r="R6" s="44">
        <v>5.0</v>
      </c>
      <c r="S6" s="44">
        <v>15.0</v>
      </c>
      <c r="T6" s="47">
        <v>5.0</v>
      </c>
      <c r="U6" s="47">
        <v>10.0</v>
      </c>
      <c r="V6" s="44">
        <v>3.0</v>
      </c>
      <c r="W6" s="9">
        <f t="shared" ref="W6:W10" si="5">SUM(S6,U6,V6)</f>
        <v>28</v>
      </c>
      <c r="X6" s="47">
        <v>1.0</v>
      </c>
      <c r="Y6" s="47">
        <v>2.0</v>
      </c>
      <c r="Z6" s="44">
        <v>2.0</v>
      </c>
      <c r="AA6" s="47">
        <v>4.0</v>
      </c>
      <c r="AB6" s="9">
        <f t="shared" ref="AB6:AB10" si="6">SUM(Y6,Z6,AA6)</f>
        <v>8</v>
      </c>
      <c r="AC6" s="54"/>
      <c r="AD6" s="47"/>
      <c r="AE6" s="24">
        <v>15.0</v>
      </c>
      <c r="AF6" s="44"/>
      <c r="AG6" s="47"/>
      <c r="AH6" s="44"/>
      <c r="AI6" s="47"/>
      <c r="AJ6" s="44"/>
      <c r="AK6" s="47"/>
      <c r="AL6" s="44"/>
      <c r="AM6" s="47">
        <v>2.5</v>
      </c>
      <c r="AN6" s="23">
        <f t="shared" ref="AN6:AN10" si="7">SUM(AF6:AM6)</f>
        <v>2.5</v>
      </c>
      <c r="AO6" s="24">
        <v>7.0</v>
      </c>
      <c r="AP6" s="47"/>
      <c r="AQ6" s="44"/>
      <c r="AR6" s="47">
        <v>3.0</v>
      </c>
      <c r="AS6" s="44">
        <v>3.0</v>
      </c>
      <c r="AT6" s="14">
        <f t="shared" ref="AT6:AT10" si="8">SUM(AP6:AS6)</f>
        <v>6</v>
      </c>
      <c r="AU6" s="44">
        <v>2.0</v>
      </c>
      <c r="AV6" s="44">
        <v>2.0</v>
      </c>
      <c r="AW6" s="44">
        <f t="shared" ref="AW6:AW10" si="9">SUM(F6,Q6,W6,AB6,AE6,AN6,AO6,AT6)</f>
        <v>94.5</v>
      </c>
    </row>
    <row r="7" ht="14.25" customHeight="1">
      <c r="A7" s="45" t="s">
        <v>47</v>
      </c>
      <c r="B7" s="46">
        <v>2.0</v>
      </c>
      <c r="C7" s="47">
        <f t="shared" si="1"/>
        <v>16</v>
      </c>
      <c r="D7" s="44">
        <v>0.0</v>
      </c>
      <c r="E7" s="44">
        <f t="shared" si="2"/>
        <v>0</v>
      </c>
      <c r="F7" s="7">
        <f t="shared" si="3"/>
        <v>16</v>
      </c>
      <c r="G7" s="47">
        <v>2.0</v>
      </c>
      <c r="H7" s="47">
        <v>5.0</v>
      </c>
      <c r="I7" s="44"/>
      <c r="J7" s="44"/>
      <c r="K7" s="47"/>
      <c r="L7" s="47"/>
      <c r="M7" s="44">
        <v>1.0</v>
      </c>
      <c r="N7" s="44">
        <v>2.5</v>
      </c>
      <c r="O7" s="47"/>
      <c r="P7" s="47"/>
      <c r="Q7" s="9">
        <f t="shared" si="4"/>
        <v>7.5</v>
      </c>
      <c r="R7" s="44">
        <v>4.0</v>
      </c>
      <c r="S7" s="44">
        <v>12.0</v>
      </c>
      <c r="T7" s="47">
        <v>4.0</v>
      </c>
      <c r="U7" s="47">
        <v>8.0</v>
      </c>
      <c r="V7" s="44"/>
      <c r="W7" s="9">
        <f t="shared" si="5"/>
        <v>20</v>
      </c>
      <c r="X7" s="47">
        <v>1.0</v>
      </c>
      <c r="Y7" s="47">
        <v>2.0</v>
      </c>
      <c r="Z7" s="44">
        <v>2.0</v>
      </c>
      <c r="AA7" s="47">
        <v>4.0</v>
      </c>
      <c r="AB7" s="9">
        <f t="shared" si="6"/>
        <v>8</v>
      </c>
      <c r="AC7" s="54"/>
      <c r="AD7" s="47"/>
      <c r="AE7" s="24"/>
      <c r="AF7" s="44">
        <v>20.0</v>
      </c>
      <c r="AG7" s="47"/>
      <c r="AH7" s="44"/>
      <c r="AI7" s="47"/>
      <c r="AJ7" s="44">
        <v>10.0</v>
      </c>
      <c r="AK7" s="47"/>
      <c r="AL7" s="44"/>
      <c r="AM7" s="47"/>
      <c r="AN7" s="23">
        <f t="shared" si="7"/>
        <v>30</v>
      </c>
      <c r="AO7" s="24">
        <v>7.0</v>
      </c>
      <c r="AP7" s="47"/>
      <c r="AQ7" s="44"/>
      <c r="AR7" s="47">
        <v>7.0</v>
      </c>
      <c r="AS7" s="44"/>
      <c r="AT7" s="14">
        <f t="shared" si="8"/>
        <v>7</v>
      </c>
      <c r="AU7" s="44">
        <v>2.0</v>
      </c>
      <c r="AV7" s="44">
        <v>2.0</v>
      </c>
      <c r="AW7" s="44">
        <f t="shared" si="9"/>
        <v>95.5</v>
      </c>
    </row>
    <row r="8" ht="14.25" customHeight="1">
      <c r="A8" s="45" t="s">
        <v>48</v>
      </c>
      <c r="B8" s="46">
        <v>1.0</v>
      </c>
      <c r="C8" s="47">
        <f t="shared" si="1"/>
        <v>8</v>
      </c>
      <c r="D8" s="44">
        <v>1.0</v>
      </c>
      <c r="E8" s="44">
        <f t="shared" si="2"/>
        <v>2.5</v>
      </c>
      <c r="F8" s="7">
        <f t="shared" si="3"/>
        <v>10.5</v>
      </c>
      <c r="G8" s="47">
        <v>4.0</v>
      </c>
      <c r="H8" s="47">
        <v>1.0</v>
      </c>
      <c r="I8" s="44">
        <v>1.0</v>
      </c>
      <c r="J8" s="44">
        <v>2.0</v>
      </c>
      <c r="K8" s="47">
        <v>6.0</v>
      </c>
      <c r="L8" s="47">
        <v>6.0</v>
      </c>
      <c r="M8" s="44">
        <v>5.0</v>
      </c>
      <c r="N8" s="44">
        <v>12.5</v>
      </c>
      <c r="O8" s="47">
        <v>5.0</v>
      </c>
      <c r="P8" s="47">
        <v>7.5</v>
      </c>
      <c r="Q8" s="9">
        <f t="shared" si="4"/>
        <v>29</v>
      </c>
      <c r="R8" s="44">
        <v>4.0</v>
      </c>
      <c r="S8" s="44">
        <v>12.0</v>
      </c>
      <c r="T8" s="47">
        <v>4.0</v>
      </c>
      <c r="U8" s="47">
        <v>8.0</v>
      </c>
      <c r="V8" s="44"/>
      <c r="W8" s="9">
        <f t="shared" si="5"/>
        <v>20</v>
      </c>
      <c r="X8" s="47">
        <v>2.0</v>
      </c>
      <c r="Y8" s="47">
        <v>5.0</v>
      </c>
      <c r="Z8" s="44">
        <v>4.0</v>
      </c>
      <c r="AA8" s="47">
        <v>2.0</v>
      </c>
      <c r="AB8" s="9">
        <f t="shared" si="6"/>
        <v>11</v>
      </c>
      <c r="AC8" s="54"/>
      <c r="AD8" s="47"/>
      <c r="AE8" s="24"/>
      <c r="AF8" s="44">
        <v>40.0</v>
      </c>
      <c r="AG8" s="47"/>
      <c r="AH8" s="44"/>
      <c r="AI8" s="47"/>
      <c r="AJ8" s="44"/>
      <c r="AK8" s="47"/>
      <c r="AL8" s="44"/>
      <c r="AM8" s="47">
        <v>5.0</v>
      </c>
      <c r="AN8" s="23">
        <f t="shared" si="7"/>
        <v>45</v>
      </c>
      <c r="AO8" s="24"/>
      <c r="AP8" s="47"/>
      <c r="AQ8" s="44"/>
      <c r="AR8" s="47"/>
      <c r="AS8" s="44"/>
      <c r="AT8" s="14">
        <f t="shared" si="8"/>
        <v>0</v>
      </c>
      <c r="AU8" s="44">
        <v>2.0</v>
      </c>
      <c r="AV8" s="44">
        <v>2.0</v>
      </c>
      <c r="AW8" s="44">
        <f t="shared" si="9"/>
        <v>115.5</v>
      </c>
    </row>
    <row r="9" ht="14.25" customHeight="1">
      <c r="A9" s="45" t="s">
        <v>49</v>
      </c>
      <c r="B9" s="46">
        <v>1.0</v>
      </c>
      <c r="C9" s="47">
        <f t="shared" si="1"/>
        <v>8</v>
      </c>
      <c r="D9" s="44">
        <v>2.0</v>
      </c>
      <c r="E9" s="44">
        <f t="shared" si="2"/>
        <v>5</v>
      </c>
      <c r="F9" s="7">
        <f t="shared" si="3"/>
        <v>13</v>
      </c>
      <c r="G9" s="47">
        <v>1.0</v>
      </c>
      <c r="H9" s="47">
        <v>1.0</v>
      </c>
      <c r="I9" s="44">
        <v>1.0</v>
      </c>
      <c r="J9" s="44">
        <v>3.0</v>
      </c>
      <c r="K9" s="47">
        <v>2.0</v>
      </c>
      <c r="L9" s="47">
        <v>2.0</v>
      </c>
      <c r="M9" s="44">
        <v>2.0</v>
      </c>
      <c r="N9" s="44">
        <v>5.0</v>
      </c>
      <c r="O9" s="47">
        <v>2.0</v>
      </c>
      <c r="P9" s="47">
        <v>3.0</v>
      </c>
      <c r="Q9" s="9">
        <f t="shared" si="4"/>
        <v>14</v>
      </c>
      <c r="R9" s="44">
        <v>4.0</v>
      </c>
      <c r="S9" s="44">
        <v>12.0</v>
      </c>
      <c r="T9" s="47">
        <v>4.0</v>
      </c>
      <c r="U9" s="47">
        <v>8.0</v>
      </c>
      <c r="V9" s="44"/>
      <c r="W9" s="9">
        <f t="shared" si="5"/>
        <v>20</v>
      </c>
      <c r="X9" s="47">
        <v>2.0</v>
      </c>
      <c r="Y9" s="47">
        <v>4.0</v>
      </c>
      <c r="Z9" s="44">
        <v>4.0</v>
      </c>
      <c r="AA9" s="47">
        <v>1.0</v>
      </c>
      <c r="AB9" s="9">
        <f t="shared" si="6"/>
        <v>9</v>
      </c>
      <c r="AC9" s="54"/>
      <c r="AD9" s="47"/>
      <c r="AE9" s="24"/>
      <c r="AF9" s="44"/>
      <c r="AG9" s="47"/>
      <c r="AH9" s="44"/>
      <c r="AI9" s="47">
        <v>15.0</v>
      </c>
      <c r="AJ9" s="44"/>
      <c r="AK9" s="47"/>
      <c r="AL9" s="44"/>
      <c r="AM9" s="47"/>
      <c r="AN9" s="23">
        <f t="shared" si="7"/>
        <v>15</v>
      </c>
      <c r="AO9" s="24"/>
      <c r="AP9" s="47"/>
      <c r="AQ9" s="44"/>
      <c r="AR9" s="47">
        <v>3.0</v>
      </c>
      <c r="AS9" s="44"/>
      <c r="AT9" s="14">
        <f t="shared" si="8"/>
        <v>3</v>
      </c>
      <c r="AU9" s="44">
        <v>2.0</v>
      </c>
      <c r="AV9" s="44">
        <v>2.0</v>
      </c>
      <c r="AW9" s="44">
        <f t="shared" si="9"/>
        <v>74</v>
      </c>
    </row>
    <row r="10" ht="14.25" customHeight="1">
      <c r="A10" s="45" t="s">
        <v>50</v>
      </c>
      <c r="B10" s="46">
        <v>1.0</v>
      </c>
      <c r="C10" s="47">
        <f t="shared" si="1"/>
        <v>8</v>
      </c>
      <c r="D10" s="44">
        <v>2.0</v>
      </c>
      <c r="E10" s="44">
        <f t="shared" si="2"/>
        <v>5</v>
      </c>
      <c r="F10" s="7">
        <f t="shared" si="3"/>
        <v>13</v>
      </c>
      <c r="G10" s="47"/>
      <c r="H10" s="47"/>
      <c r="I10" s="44"/>
      <c r="J10" s="44"/>
      <c r="K10" s="47"/>
      <c r="L10" s="47"/>
      <c r="M10" s="44">
        <v>1.0</v>
      </c>
      <c r="N10" s="44">
        <v>2.5</v>
      </c>
      <c r="O10" s="47">
        <v>1.0</v>
      </c>
      <c r="P10" s="47">
        <v>1.5</v>
      </c>
      <c r="Q10" s="9">
        <f t="shared" si="4"/>
        <v>4</v>
      </c>
      <c r="R10" s="44"/>
      <c r="S10" s="44"/>
      <c r="T10" s="47"/>
      <c r="U10" s="47"/>
      <c r="V10" s="44"/>
      <c r="W10" s="9">
        <f t="shared" si="5"/>
        <v>0</v>
      </c>
      <c r="X10" s="47">
        <v>1.0</v>
      </c>
      <c r="Y10" s="47">
        <v>2.0</v>
      </c>
      <c r="Z10" s="44">
        <v>2.0</v>
      </c>
      <c r="AA10" s="47">
        <v>2.0</v>
      </c>
      <c r="AB10" s="9">
        <f t="shared" si="6"/>
        <v>6</v>
      </c>
      <c r="AC10" s="54"/>
      <c r="AD10" s="47"/>
      <c r="AE10" s="24">
        <v>99.0</v>
      </c>
      <c r="AF10" s="44"/>
      <c r="AG10" s="47">
        <v>20.0</v>
      </c>
      <c r="AH10" s="44"/>
      <c r="AI10" s="47"/>
      <c r="AJ10" s="44"/>
      <c r="AK10" s="47"/>
      <c r="AL10" s="44"/>
      <c r="AM10" s="47">
        <v>2.5</v>
      </c>
      <c r="AN10" s="23">
        <f t="shared" si="7"/>
        <v>22.5</v>
      </c>
      <c r="AO10" s="24">
        <v>7.0</v>
      </c>
      <c r="AP10" s="47"/>
      <c r="AQ10" s="44"/>
      <c r="AR10" s="47"/>
      <c r="AS10" s="44"/>
      <c r="AT10" s="14">
        <f t="shared" si="8"/>
        <v>0</v>
      </c>
      <c r="AU10" s="44">
        <v>2.0</v>
      </c>
      <c r="AV10" s="44">
        <v>2.0</v>
      </c>
      <c r="AW10" s="44">
        <f t="shared" si="9"/>
        <v>151.5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C3:AD3"/>
    <mergeCell ref="AF3:AM3"/>
    <mergeCell ref="B2:E3"/>
    <mergeCell ref="G2:P3"/>
    <mergeCell ref="R2:V3"/>
    <mergeCell ref="X2:AA3"/>
    <mergeCell ref="AC2:AO2"/>
    <mergeCell ref="AP2:AS3"/>
    <mergeCell ref="AU2:AU3"/>
    <mergeCell ref="R4:S4"/>
    <mergeCell ref="T4:U4"/>
    <mergeCell ref="X4:Y4"/>
    <mergeCell ref="B4:C4"/>
    <mergeCell ref="D4:E4"/>
    <mergeCell ref="G4:H4"/>
    <mergeCell ref="I4:J4"/>
    <mergeCell ref="K4:L4"/>
    <mergeCell ref="M4:N4"/>
    <mergeCell ref="O4:P4"/>
  </mergeCells>
  <conditionalFormatting sqref="AU6:AV10">
    <cfRule type="cellIs" dxfId="0" priority="1" operator="lessThan">
      <formula>2</formula>
    </cfRule>
  </conditionalFormatting>
  <conditionalFormatting sqref="AW6:AW10">
    <cfRule type="cellIs" dxfId="0" priority="2" operator="lessThan">
      <formula>69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86"/>
    <col customWidth="1" min="2" max="2" width="7.0"/>
    <col customWidth="1" min="3" max="3" width="7.29"/>
    <col customWidth="1" min="4" max="4" width="7.0"/>
    <col customWidth="1" min="5" max="6" width="7.29"/>
    <col customWidth="1" min="7" max="7" width="7.0"/>
    <col customWidth="1" min="8" max="8" width="7.29"/>
    <col customWidth="1" min="9" max="9" width="7.0"/>
    <col customWidth="1" min="10" max="10" width="7.29"/>
    <col customWidth="1" min="11" max="11" width="7.0"/>
    <col customWidth="1" min="12" max="12" width="7.29"/>
    <col customWidth="1" min="13" max="13" width="7.0"/>
    <col customWidth="1" min="14" max="14" width="7.29"/>
    <col customWidth="1" min="15" max="15" width="7.0"/>
    <col customWidth="1" min="16" max="17" width="7.29"/>
    <col customWidth="1" min="18" max="18" width="7.0"/>
    <col customWidth="1" min="19" max="19" width="7.29"/>
    <col customWidth="1" min="20" max="20" width="7.0"/>
    <col customWidth="1" min="21" max="23" width="7.29"/>
    <col customWidth="1" min="24" max="24" width="7.0"/>
    <col customWidth="1" min="25" max="48" width="7.29"/>
    <col customWidth="1" min="49" max="49" width="10.71"/>
  </cols>
  <sheetData>
    <row r="1" ht="14.25" customHeight="1">
      <c r="AS1" s="1"/>
      <c r="AT1" s="2"/>
    </row>
    <row r="2" ht="15.0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15"/>
      <c r="AV2" s="50"/>
      <c r="AW2" s="3"/>
    </row>
    <row r="3" ht="14.25" customHeight="1">
      <c r="A3" s="2"/>
      <c r="B3" s="16"/>
      <c r="C3" s="17"/>
      <c r="D3" s="17"/>
      <c r="E3" s="18"/>
      <c r="F3" s="19"/>
      <c r="G3" s="16"/>
      <c r="H3" s="17"/>
      <c r="I3" s="17"/>
      <c r="J3" s="17"/>
      <c r="K3" s="17"/>
      <c r="L3" s="17"/>
      <c r="M3" s="17"/>
      <c r="N3" s="17"/>
      <c r="O3" s="17"/>
      <c r="P3" s="18"/>
      <c r="Q3" s="20"/>
      <c r="R3" s="16"/>
      <c r="S3" s="17"/>
      <c r="T3" s="17"/>
      <c r="U3" s="17"/>
      <c r="V3" s="18"/>
      <c r="W3" s="20"/>
      <c r="X3" s="16"/>
      <c r="Y3" s="17"/>
      <c r="Z3" s="17"/>
      <c r="AA3" s="18"/>
      <c r="AB3" s="20"/>
      <c r="AC3" s="21" t="s">
        <v>6</v>
      </c>
      <c r="AD3" s="12"/>
      <c r="AE3" s="22"/>
      <c r="AF3" s="21" t="s">
        <v>7</v>
      </c>
      <c r="AG3" s="11"/>
      <c r="AH3" s="11"/>
      <c r="AI3" s="11"/>
      <c r="AJ3" s="11"/>
      <c r="AK3" s="11"/>
      <c r="AL3" s="11"/>
      <c r="AM3" s="12"/>
      <c r="AN3" s="23"/>
      <c r="AO3" s="24" t="s">
        <v>8</v>
      </c>
      <c r="AP3" s="16"/>
      <c r="AQ3" s="17"/>
      <c r="AR3" s="17"/>
      <c r="AS3" s="18"/>
      <c r="AT3" s="25"/>
      <c r="AU3" s="26"/>
      <c r="AV3" s="50"/>
      <c r="AW3" s="2"/>
    </row>
    <row r="4" ht="14.25" customHeight="1">
      <c r="A4" s="27" t="s">
        <v>56</v>
      </c>
      <c r="B4" s="28" t="s">
        <v>10</v>
      </c>
      <c r="C4" s="29"/>
      <c r="D4" s="28" t="s">
        <v>11</v>
      </c>
      <c r="E4" s="29"/>
      <c r="F4" s="30" t="s">
        <v>0</v>
      </c>
      <c r="G4" s="31" t="s">
        <v>12</v>
      </c>
      <c r="H4" s="12"/>
      <c r="I4" s="31" t="s">
        <v>13</v>
      </c>
      <c r="J4" s="12"/>
      <c r="K4" s="31" t="s">
        <v>14</v>
      </c>
      <c r="L4" s="12"/>
      <c r="M4" s="31" t="s">
        <v>15</v>
      </c>
      <c r="N4" s="12"/>
      <c r="O4" s="31" t="s">
        <v>16</v>
      </c>
      <c r="P4" s="12"/>
      <c r="Q4" s="32" t="s">
        <v>17</v>
      </c>
      <c r="R4" s="31" t="s">
        <v>18</v>
      </c>
      <c r="S4" s="12"/>
      <c r="T4" s="31" t="s">
        <v>19</v>
      </c>
      <c r="U4" s="12"/>
      <c r="V4" s="33" t="s">
        <v>20</v>
      </c>
      <c r="W4" s="32" t="s">
        <v>2</v>
      </c>
      <c r="X4" s="31" t="s">
        <v>21</v>
      </c>
      <c r="Y4" s="12"/>
      <c r="Z4" s="33" t="s">
        <v>22</v>
      </c>
      <c r="AA4" s="33" t="s">
        <v>23</v>
      </c>
      <c r="AB4" s="34" t="s">
        <v>3</v>
      </c>
      <c r="AC4" s="35" t="s">
        <v>24</v>
      </c>
      <c r="AD4" s="35" t="s">
        <v>25</v>
      </c>
      <c r="AE4" s="35" t="s">
        <v>6</v>
      </c>
      <c r="AF4" s="35" t="s">
        <v>26</v>
      </c>
      <c r="AG4" s="35" t="s">
        <v>27</v>
      </c>
      <c r="AH4" s="35" t="s">
        <v>28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33</v>
      </c>
      <c r="AN4" s="35" t="s">
        <v>7</v>
      </c>
      <c r="AO4" s="35" t="s">
        <v>34</v>
      </c>
      <c r="AP4" s="36" t="s">
        <v>35</v>
      </c>
      <c r="AQ4" s="36" t="s">
        <v>36</v>
      </c>
      <c r="AR4" s="36" t="s">
        <v>37</v>
      </c>
      <c r="AS4" s="36" t="s">
        <v>38</v>
      </c>
      <c r="AT4" s="36" t="s">
        <v>39</v>
      </c>
      <c r="AU4" s="37" t="s">
        <v>40</v>
      </c>
      <c r="AV4" s="51" t="s">
        <v>52</v>
      </c>
      <c r="AW4" s="38" t="s">
        <v>57</v>
      </c>
    </row>
    <row r="5" ht="14.25" customHeight="1">
      <c r="A5" s="39" t="s">
        <v>42</v>
      </c>
      <c r="B5" s="40" t="s">
        <v>43</v>
      </c>
      <c r="C5" s="40" t="s">
        <v>44</v>
      </c>
      <c r="D5" s="40" t="s">
        <v>43</v>
      </c>
      <c r="E5" s="40" t="s">
        <v>44</v>
      </c>
      <c r="F5" s="40" t="s">
        <v>45</v>
      </c>
      <c r="G5" s="41" t="s">
        <v>43</v>
      </c>
      <c r="H5" s="41" t="s">
        <v>44</v>
      </c>
      <c r="I5" s="41" t="s">
        <v>43</v>
      </c>
      <c r="J5" s="41" t="s">
        <v>44</v>
      </c>
      <c r="K5" s="41" t="s">
        <v>43</v>
      </c>
      <c r="L5" s="41" t="s">
        <v>44</v>
      </c>
      <c r="M5" s="41" t="s">
        <v>43</v>
      </c>
      <c r="N5" s="41" t="s">
        <v>44</v>
      </c>
      <c r="O5" s="41" t="s">
        <v>43</v>
      </c>
      <c r="P5" s="41" t="s">
        <v>44</v>
      </c>
      <c r="Q5" s="41" t="s">
        <v>45</v>
      </c>
      <c r="R5" s="41" t="s">
        <v>43</v>
      </c>
      <c r="S5" s="41" t="s">
        <v>44</v>
      </c>
      <c r="T5" s="41" t="s">
        <v>43</v>
      </c>
      <c r="U5" s="41" t="s">
        <v>44</v>
      </c>
      <c r="V5" s="41" t="s">
        <v>44</v>
      </c>
      <c r="W5" s="41" t="s">
        <v>45</v>
      </c>
      <c r="X5" s="41" t="s">
        <v>43</v>
      </c>
      <c r="Y5" s="41" t="s">
        <v>44</v>
      </c>
      <c r="Z5" s="41" t="s">
        <v>44</v>
      </c>
      <c r="AA5" s="41" t="s">
        <v>44</v>
      </c>
      <c r="AB5" s="41" t="s">
        <v>45</v>
      </c>
      <c r="AC5" s="24" t="s">
        <v>44</v>
      </c>
      <c r="AD5" s="24" t="s">
        <v>44</v>
      </c>
      <c r="AE5" s="24" t="s">
        <v>45</v>
      </c>
      <c r="AF5" s="24" t="s">
        <v>44</v>
      </c>
      <c r="AG5" s="24" t="s">
        <v>44</v>
      </c>
      <c r="AH5" s="24" t="s">
        <v>44</v>
      </c>
      <c r="AI5" s="24" t="s">
        <v>44</v>
      </c>
      <c r="AJ5" s="24" t="s">
        <v>44</v>
      </c>
      <c r="AK5" s="24" t="s">
        <v>44</v>
      </c>
      <c r="AL5" s="24" t="s">
        <v>44</v>
      </c>
      <c r="AM5" s="24" t="s">
        <v>44</v>
      </c>
      <c r="AN5" s="24" t="s">
        <v>45</v>
      </c>
      <c r="AO5" s="24" t="s">
        <v>44</v>
      </c>
      <c r="AP5" s="42" t="s">
        <v>44</v>
      </c>
      <c r="AQ5" s="42" t="s">
        <v>44</v>
      </c>
      <c r="AR5" s="42" t="s">
        <v>44</v>
      </c>
      <c r="AS5" s="42" t="s">
        <v>44</v>
      </c>
      <c r="AT5" s="42" t="s">
        <v>45</v>
      </c>
      <c r="AU5" s="43" t="s">
        <v>43</v>
      </c>
      <c r="AV5" s="52" t="s">
        <v>43</v>
      </c>
      <c r="AW5" s="44" t="s">
        <v>45</v>
      </c>
    </row>
    <row r="6" ht="14.25" customHeight="1">
      <c r="A6" s="45" t="s">
        <v>46</v>
      </c>
      <c r="B6" s="46"/>
      <c r="C6" s="47">
        <f t="shared" ref="C6:C10" si="1">B6*8</f>
        <v>0</v>
      </c>
      <c r="D6" s="44"/>
      <c r="E6" s="44">
        <f t="shared" ref="E6:E10" si="2">D6*2.5</f>
        <v>0</v>
      </c>
      <c r="F6" s="7">
        <f t="shared" ref="F6:F10" si="3">SUM(C6,E6)</f>
        <v>0</v>
      </c>
      <c r="G6" s="47"/>
      <c r="H6" s="47"/>
      <c r="I6" s="44"/>
      <c r="J6" s="44"/>
      <c r="K6" s="47"/>
      <c r="L6" s="47"/>
      <c r="M6" s="44"/>
      <c r="N6" s="44"/>
      <c r="O6" s="47"/>
      <c r="P6" s="47"/>
      <c r="Q6" s="9">
        <f t="shared" ref="Q6:Q10" si="4">SUM(H6,J6,L6,N6,P6)</f>
        <v>0</v>
      </c>
      <c r="R6" s="44"/>
      <c r="S6" s="44"/>
      <c r="T6" s="47"/>
      <c r="U6" s="47"/>
      <c r="V6" s="44"/>
      <c r="W6" s="9">
        <f t="shared" ref="W6:W10" si="5">SUM(S6,U6,V6)</f>
        <v>0</v>
      </c>
      <c r="X6" s="47"/>
      <c r="Y6" s="47"/>
      <c r="Z6" s="44"/>
      <c r="AA6" s="47"/>
      <c r="AB6" s="9">
        <f t="shared" ref="AB6:AB10" si="6">SUM(Y6,Z6,AA6)</f>
        <v>0</v>
      </c>
      <c r="AC6" s="54"/>
      <c r="AD6" s="47"/>
      <c r="AE6" s="24">
        <f t="shared" ref="AE6:AE10" si="7">SUM(AC6:AD6)</f>
        <v>0</v>
      </c>
      <c r="AF6" s="44"/>
      <c r="AG6" s="47"/>
      <c r="AH6" s="44"/>
      <c r="AI6" s="47"/>
      <c r="AJ6" s="44"/>
      <c r="AK6" s="47"/>
      <c r="AL6" s="44"/>
      <c r="AM6" s="47"/>
      <c r="AN6" s="23">
        <f t="shared" ref="AN6:AN10" si="8">SUM(AF6:AM6)</f>
        <v>0</v>
      </c>
      <c r="AO6" s="24"/>
      <c r="AP6" s="47"/>
      <c r="AQ6" s="44"/>
      <c r="AR6" s="47"/>
      <c r="AS6" s="44"/>
      <c r="AT6" s="14">
        <f t="shared" ref="AT6:AT10" si="9">SUM(AP6:AS6)</f>
        <v>0</v>
      </c>
      <c r="AU6" s="44"/>
      <c r="AV6" s="44"/>
      <c r="AW6" s="44">
        <f t="shared" ref="AW6:AW10" si="10">SUM(F6,Q6,W6,AB6,AE6,AN6,AO6,AT6)</f>
        <v>0</v>
      </c>
    </row>
    <row r="7" ht="14.25" customHeight="1">
      <c r="A7" s="45" t="s">
        <v>47</v>
      </c>
      <c r="B7" s="46"/>
      <c r="C7" s="47">
        <f t="shared" si="1"/>
        <v>0</v>
      </c>
      <c r="D7" s="44"/>
      <c r="E7" s="44">
        <f t="shared" si="2"/>
        <v>0</v>
      </c>
      <c r="F7" s="7">
        <f t="shared" si="3"/>
        <v>0</v>
      </c>
      <c r="G7" s="47"/>
      <c r="H7" s="47"/>
      <c r="I7" s="44"/>
      <c r="J7" s="44"/>
      <c r="K7" s="47"/>
      <c r="L7" s="47"/>
      <c r="M7" s="44"/>
      <c r="N7" s="44"/>
      <c r="O7" s="47"/>
      <c r="P7" s="47"/>
      <c r="Q7" s="9">
        <f t="shared" si="4"/>
        <v>0</v>
      </c>
      <c r="R7" s="44"/>
      <c r="S7" s="44"/>
      <c r="T7" s="47"/>
      <c r="U7" s="47"/>
      <c r="V7" s="44"/>
      <c r="W7" s="9">
        <f t="shared" si="5"/>
        <v>0</v>
      </c>
      <c r="X7" s="47"/>
      <c r="Y7" s="47"/>
      <c r="Z7" s="44"/>
      <c r="AA7" s="47"/>
      <c r="AB7" s="9">
        <f t="shared" si="6"/>
        <v>0</v>
      </c>
      <c r="AC7" s="54"/>
      <c r="AD7" s="47"/>
      <c r="AE7" s="24">
        <f t="shared" si="7"/>
        <v>0</v>
      </c>
      <c r="AF7" s="44"/>
      <c r="AG7" s="47"/>
      <c r="AH7" s="44"/>
      <c r="AI7" s="47"/>
      <c r="AJ7" s="44"/>
      <c r="AK7" s="47"/>
      <c r="AL7" s="44"/>
      <c r="AM7" s="47"/>
      <c r="AN7" s="23">
        <f t="shared" si="8"/>
        <v>0</v>
      </c>
      <c r="AO7" s="24"/>
      <c r="AP7" s="47"/>
      <c r="AQ7" s="44"/>
      <c r="AR7" s="47"/>
      <c r="AS7" s="44"/>
      <c r="AT7" s="14">
        <f t="shared" si="9"/>
        <v>0</v>
      </c>
      <c r="AU7" s="44"/>
      <c r="AV7" s="44"/>
      <c r="AW7" s="44">
        <f t="shared" si="10"/>
        <v>0</v>
      </c>
    </row>
    <row r="8" ht="14.25" customHeight="1">
      <c r="A8" s="45" t="s">
        <v>48</v>
      </c>
      <c r="B8" s="46"/>
      <c r="C8" s="47">
        <f t="shared" si="1"/>
        <v>0</v>
      </c>
      <c r="D8" s="44"/>
      <c r="E8" s="44">
        <f t="shared" si="2"/>
        <v>0</v>
      </c>
      <c r="F8" s="7">
        <f t="shared" si="3"/>
        <v>0</v>
      </c>
      <c r="G8" s="47"/>
      <c r="H8" s="47"/>
      <c r="I8" s="44"/>
      <c r="J8" s="44"/>
      <c r="K8" s="47"/>
      <c r="L8" s="47"/>
      <c r="M8" s="44"/>
      <c r="N8" s="44"/>
      <c r="O8" s="47"/>
      <c r="P8" s="47"/>
      <c r="Q8" s="9">
        <f t="shared" si="4"/>
        <v>0</v>
      </c>
      <c r="R8" s="44"/>
      <c r="S8" s="44"/>
      <c r="T8" s="47"/>
      <c r="U8" s="47"/>
      <c r="V8" s="44"/>
      <c r="W8" s="9">
        <f t="shared" si="5"/>
        <v>0</v>
      </c>
      <c r="X8" s="47"/>
      <c r="Y8" s="47"/>
      <c r="Z8" s="44"/>
      <c r="AA8" s="47"/>
      <c r="AB8" s="9">
        <f t="shared" si="6"/>
        <v>0</v>
      </c>
      <c r="AC8" s="54"/>
      <c r="AD8" s="47"/>
      <c r="AE8" s="24">
        <f t="shared" si="7"/>
        <v>0</v>
      </c>
      <c r="AF8" s="44"/>
      <c r="AG8" s="47"/>
      <c r="AH8" s="44"/>
      <c r="AI8" s="47"/>
      <c r="AJ8" s="44"/>
      <c r="AK8" s="47"/>
      <c r="AL8" s="44"/>
      <c r="AM8" s="47"/>
      <c r="AN8" s="23">
        <f t="shared" si="8"/>
        <v>0</v>
      </c>
      <c r="AO8" s="24"/>
      <c r="AP8" s="47"/>
      <c r="AQ8" s="44"/>
      <c r="AR8" s="47"/>
      <c r="AS8" s="44"/>
      <c r="AT8" s="14">
        <f t="shared" si="9"/>
        <v>0</v>
      </c>
      <c r="AU8" s="44"/>
      <c r="AV8" s="44"/>
      <c r="AW8" s="44">
        <f t="shared" si="10"/>
        <v>0</v>
      </c>
    </row>
    <row r="9" ht="14.25" customHeight="1">
      <c r="A9" s="45" t="s">
        <v>49</v>
      </c>
      <c r="B9" s="46"/>
      <c r="C9" s="47">
        <f t="shared" si="1"/>
        <v>0</v>
      </c>
      <c r="D9" s="44"/>
      <c r="E9" s="44">
        <f t="shared" si="2"/>
        <v>0</v>
      </c>
      <c r="F9" s="7">
        <f t="shared" si="3"/>
        <v>0</v>
      </c>
      <c r="G9" s="47"/>
      <c r="H9" s="47"/>
      <c r="I9" s="44"/>
      <c r="J9" s="44"/>
      <c r="K9" s="47"/>
      <c r="L9" s="47"/>
      <c r="M9" s="44"/>
      <c r="N9" s="44"/>
      <c r="O9" s="47"/>
      <c r="P9" s="47"/>
      <c r="Q9" s="9">
        <f t="shared" si="4"/>
        <v>0</v>
      </c>
      <c r="R9" s="44"/>
      <c r="S9" s="44"/>
      <c r="T9" s="47"/>
      <c r="U9" s="47"/>
      <c r="V9" s="44"/>
      <c r="W9" s="9">
        <f t="shared" si="5"/>
        <v>0</v>
      </c>
      <c r="X9" s="47"/>
      <c r="Y9" s="47"/>
      <c r="Z9" s="44"/>
      <c r="AA9" s="47"/>
      <c r="AB9" s="9">
        <f t="shared" si="6"/>
        <v>0</v>
      </c>
      <c r="AC9" s="54"/>
      <c r="AD9" s="47"/>
      <c r="AE9" s="24">
        <f t="shared" si="7"/>
        <v>0</v>
      </c>
      <c r="AF9" s="44"/>
      <c r="AG9" s="47"/>
      <c r="AH9" s="44"/>
      <c r="AI9" s="47"/>
      <c r="AJ9" s="44"/>
      <c r="AK9" s="47"/>
      <c r="AL9" s="44"/>
      <c r="AM9" s="47"/>
      <c r="AN9" s="23">
        <f t="shared" si="8"/>
        <v>0</v>
      </c>
      <c r="AO9" s="24"/>
      <c r="AP9" s="47"/>
      <c r="AQ9" s="44"/>
      <c r="AR9" s="47"/>
      <c r="AS9" s="44"/>
      <c r="AT9" s="14">
        <f t="shared" si="9"/>
        <v>0</v>
      </c>
      <c r="AU9" s="44"/>
      <c r="AV9" s="44"/>
      <c r="AW9" s="44">
        <f t="shared" si="10"/>
        <v>0</v>
      </c>
    </row>
    <row r="10" ht="14.25" customHeight="1">
      <c r="A10" s="45" t="s">
        <v>50</v>
      </c>
      <c r="B10" s="46"/>
      <c r="C10" s="47">
        <f t="shared" si="1"/>
        <v>0</v>
      </c>
      <c r="D10" s="44"/>
      <c r="E10" s="44">
        <f t="shared" si="2"/>
        <v>0</v>
      </c>
      <c r="F10" s="7">
        <f t="shared" si="3"/>
        <v>0</v>
      </c>
      <c r="G10" s="47"/>
      <c r="H10" s="47"/>
      <c r="I10" s="44"/>
      <c r="J10" s="44"/>
      <c r="K10" s="47"/>
      <c r="L10" s="47"/>
      <c r="M10" s="44"/>
      <c r="N10" s="44"/>
      <c r="O10" s="47"/>
      <c r="P10" s="47"/>
      <c r="Q10" s="9">
        <f t="shared" si="4"/>
        <v>0</v>
      </c>
      <c r="R10" s="44"/>
      <c r="S10" s="44"/>
      <c r="T10" s="47"/>
      <c r="U10" s="47"/>
      <c r="V10" s="44"/>
      <c r="W10" s="9">
        <f t="shared" si="5"/>
        <v>0</v>
      </c>
      <c r="X10" s="47"/>
      <c r="Y10" s="47"/>
      <c r="Z10" s="44"/>
      <c r="AA10" s="47"/>
      <c r="AB10" s="9">
        <f t="shared" si="6"/>
        <v>0</v>
      </c>
      <c r="AC10" s="54"/>
      <c r="AD10" s="47"/>
      <c r="AE10" s="24">
        <f t="shared" si="7"/>
        <v>0</v>
      </c>
      <c r="AF10" s="44"/>
      <c r="AG10" s="47"/>
      <c r="AH10" s="44"/>
      <c r="AI10" s="47"/>
      <c r="AJ10" s="44"/>
      <c r="AK10" s="47"/>
      <c r="AL10" s="44"/>
      <c r="AM10" s="47"/>
      <c r="AN10" s="23">
        <f t="shared" si="8"/>
        <v>0</v>
      </c>
      <c r="AO10" s="24"/>
      <c r="AP10" s="47"/>
      <c r="AQ10" s="44"/>
      <c r="AR10" s="47"/>
      <c r="AS10" s="44"/>
      <c r="AT10" s="14">
        <f t="shared" si="9"/>
        <v>0</v>
      </c>
      <c r="AU10" s="44"/>
      <c r="AV10" s="44"/>
      <c r="AW10" s="44">
        <f t="shared" si="10"/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C3:AD3"/>
    <mergeCell ref="AF3:AM3"/>
    <mergeCell ref="B2:E3"/>
    <mergeCell ref="G2:P3"/>
    <mergeCell ref="R2:V3"/>
    <mergeCell ref="X2:AA3"/>
    <mergeCell ref="AC2:AO2"/>
    <mergeCell ref="AP2:AS3"/>
    <mergeCell ref="AU2:AU3"/>
    <mergeCell ref="R4:S4"/>
    <mergeCell ref="T4:U4"/>
    <mergeCell ref="X4:Y4"/>
    <mergeCell ref="B4:C4"/>
    <mergeCell ref="D4:E4"/>
    <mergeCell ref="G4:H4"/>
    <mergeCell ref="I4:J4"/>
    <mergeCell ref="K4:L4"/>
    <mergeCell ref="M4:N4"/>
    <mergeCell ref="O4:P4"/>
  </mergeCells>
  <conditionalFormatting sqref="AU6:AV10">
    <cfRule type="cellIs" dxfId="0" priority="1" operator="lessThan">
      <formula>2</formula>
    </cfRule>
  </conditionalFormatting>
  <conditionalFormatting sqref="AW6:AW10">
    <cfRule type="cellIs" dxfId="0" priority="2" operator="lessThan">
      <formula>69</formula>
    </cfRule>
  </conditionalFormatting>
  <printOptions/>
  <pageMargins bottom="0.787401575" footer="0.0" header="0.0" left="0.7" right="0.7" top="0.7874015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47" width="10.71"/>
  </cols>
  <sheetData>
    <row r="1" ht="14.25" customHeight="1">
      <c r="AS1" s="1"/>
      <c r="AT1" s="2"/>
    </row>
    <row r="2" ht="14.25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3"/>
    </row>
    <row r="3" ht="14.25" customHeight="1">
      <c r="A3" s="2"/>
      <c r="B3" s="16"/>
      <c r="C3" s="17"/>
      <c r="D3" s="17"/>
      <c r="E3" s="18"/>
      <c r="F3" s="19"/>
      <c r="G3" s="16"/>
      <c r="H3" s="17"/>
      <c r="I3" s="17"/>
      <c r="J3" s="17"/>
      <c r="K3" s="17"/>
      <c r="L3" s="17"/>
      <c r="M3" s="17"/>
      <c r="N3" s="17"/>
      <c r="O3" s="17"/>
      <c r="P3" s="18"/>
      <c r="Q3" s="20"/>
      <c r="R3" s="16"/>
      <c r="S3" s="17"/>
      <c r="T3" s="17"/>
      <c r="U3" s="17"/>
      <c r="V3" s="18"/>
      <c r="W3" s="20"/>
      <c r="X3" s="16"/>
      <c r="Y3" s="17"/>
      <c r="Z3" s="17"/>
      <c r="AA3" s="18"/>
      <c r="AB3" s="20"/>
      <c r="AC3" s="21" t="s">
        <v>6</v>
      </c>
      <c r="AD3" s="12"/>
      <c r="AE3" s="22"/>
      <c r="AF3" s="21" t="s">
        <v>7</v>
      </c>
      <c r="AG3" s="11"/>
      <c r="AH3" s="11"/>
      <c r="AI3" s="11"/>
      <c r="AJ3" s="11"/>
      <c r="AK3" s="11"/>
      <c r="AL3" s="11"/>
      <c r="AM3" s="12"/>
      <c r="AN3" s="23"/>
      <c r="AO3" s="24" t="s">
        <v>8</v>
      </c>
      <c r="AP3" s="16"/>
      <c r="AQ3" s="17"/>
      <c r="AR3" s="17"/>
      <c r="AS3" s="18"/>
      <c r="AT3" s="25"/>
      <c r="AU3" s="2"/>
    </row>
    <row r="4" ht="14.25" customHeight="1">
      <c r="A4" s="27" t="s">
        <v>58</v>
      </c>
      <c r="B4" s="28" t="s">
        <v>10</v>
      </c>
      <c r="C4" s="29"/>
      <c r="D4" s="28" t="s">
        <v>11</v>
      </c>
      <c r="E4" s="29"/>
      <c r="F4" s="30" t="s">
        <v>0</v>
      </c>
      <c r="G4" s="31" t="s">
        <v>12</v>
      </c>
      <c r="H4" s="12"/>
      <c r="I4" s="31" t="s">
        <v>13</v>
      </c>
      <c r="J4" s="12"/>
      <c r="K4" s="31" t="s">
        <v>14</v>
      </c>
      <c r="L4" s="12"/>
      <c r="M4" s="31" t="s">
        <v>15</v>
      </c>
      <c r="N4" s="12"/>
      <c r="O4" s="31" t="s">
        <v>16</v>
      </c>
      <c r="P4" s="12"/>
      <c r="Q4" s="32" t="s">
        <v>17</v>
      </c>
      <c r="R4" s="31" t="s">
        <v>18</v>
      </c>
      <c r="S4" s="12"/>
      <c r="T4" s="31" t="s">
        <v>19</v>
      </c>
      <c r="U4" s="12"/>
      <c r="V4" s="33" t="s">
        <v>20</v>
      </c>
      <c r="W4" s="32" t="s">
        <v>2</v>
      </c>
      <c r="X4" s="31" t="s">
        <v>21</v>
      </c>
      <c r="Y4" s="12"/>
      <c r="Z4" s="33" t="s">
        <v>22</v>
      </c>
      <c r="AA4" s="33" t="s">
        <v>23</v>
      </c>
      <c r="AB4" s="34" t="s">
        <v>3</v>
      </c>
      <c r="AC4" s="35" t="s">
        <v>24</v>
      </c>
      <c r="AD4" s="35" t="s">
        <v>25</v>
      </c>
      <c r="AE4" s="35" t="s">
        <v>6</v>
      </c>
      <c r="AF4" s="35" t="s">
        <v>26</v>
      </c>
      <c r="AG4" s="35" t="s">
        <v>27</v>
      </c>
      <c r="AH4" s="35" t="s">
        <v>28</v>
      </c>
      <c r="AI4" s="35" t="s">
        <v>29</v>
      </c>
      <c r="AJ4" s="35" t="s">
        <v>30</v>
      </c>
      <c r="AK4" s="35" t="s">
        <v>31</v>
      </c>
      <c r="AL4" s="35" t="s">
        <v>32</v>
      </c>
      <c r="AM4" s="35" t="s">
        <v>33</v>
      </c>
      <c r="AN4" s="35" t="s">
        <v>7</v>
      </c>
      <c r="AO4" s="35" t="s">
        <v>34</v>
      </c>
      <c r="AP4" s="36" t="s">
        <v>35</v>
      </c>
      <c r="AQ4" s="36" t="s">
        <v>36</v>
      </c>
      <c r="AR4" s="36" t="s">
        <v>37</v>
      </c>
      <c r="AS4" s="36" t="s">
        <v>38</v>
      </c>
      <c r="AT4" s="36" t="s">
        <v>39</v>
      </c>
      <c r="AU4" s="38" t="s">
        <v>58</v>
      </c>
    </row>
    <row r="5" ht="14.25" customHeight="1">
      <c r="A5" s="39" t="s">
        <v>42</v>
      </c>
      <c r="B5" s="40" t="s">
        <v>43</v>
      </c>
      <c r="C5" s="40" t="s">
        <v>44</v>
      </c>
      <c r="D5" s="40" t="s">
        <v>43</v>
      </c>
      <c r="E5" s="40" t="s">
        <v>44</v>
      </c>
      <c r="F5" s="40" t="s">
        <v>45</v>
      </c>
      <c r="G5" s="41" t="s">
        <v>43</v>
      </c>
      <c r="H5" s="41" t="s">
        <v>44</v>
      </c>
      <c r="I5" s="41" t="s">
        <v>43</v>
      </c>
      <c r="J5" s="41" t="s">
        <v>44</v>
      </c>
      <c r="K5" s="41" t="s">
        <v>43</v>
      </c>
      <c r="L5" s="41" t="s">
        <v>44</v>
      </c>
      <c r="M5" s="41" t="s">
        <v>43</v>
      </c>
      <c r="N5" s="41" t="s">
        <v>44</v>
      </c>
      <c r="O5" s="41" t="s">
        <v>43</v>
      </c>
      <c r="P5" s="41" t="s">
        <v>44</v>
      </c>
      <c r="Q5" s="41" t="s">
        <v>45</v>
      </c>
      <c r="R5" s="41" t="s">
        <v>43</v>
      </c>
      <c r="S5" s="41" t="s">
        <v>44</v>
      </c>
      <c r="T5" s="41" t="s">
        <v>43</v>
      </c>
      <c r="U5" s="41" t="s">
        <v>44</v>
      </c>
      <c r="V5" s="41" t="s">
        <v>44</v>
      </c>
      <c r="W5" s="41" t="s">
        <v>45</v>
      </c>
      <c r="X5" s="41" t="s">
        <v>43</v>
      </c>
      <c r="Y5" s="41" t="s">
        <v>44</v>
      </c>
      <c r="Z5" s="41" t="s">
        <v>44</v>
      </c>
      <c r="AA5" s="41" t="s">
        <v>44</v>
      </c>
      <c r="AB5" s="41" t="s">
        <v>45</v>
      </c>
      <c r="AC5" s="24" t="s">
        <v>44</v>
      </c>
      <c r="AD5" s="24" t="s">
        <v>44</v>
      </c>
      <c r="AE5" s="24" t="s">
        <v>45</v>
      </c>
      <c r="AF5" s="24" t="s">
        <v>44</v>
      </c>
      <c r="AG5" s="24" t="s">
        <v>44</v>
      </c>
      <c r="AH5" s="24" t="s">
        <v>44</v>
      </c>
      <c r="AI5" s="24" t="s">
        <v>44</v>
      </c>
      <c r="AJ5" s="24" t="s">
        <v>44</v>
      </c>
      <c r="AK5" s="24" t="s">
        <v>44</v>
      </c>
      <c r="AL5" s="24" t="s">
        <v>44</v>
      </c>
      <c r="AM5" s="24" t="s">
        <v>44</v>
      </c>
      <c r="AN5" s="24" t="s">
        <v>45</v>
      </c>
      <c r="AO5" s="24" t="s">
        <v>44</v>
      </c>
      <c r="AP5" s="42" t="s">
        <v>44</v>
      </c>
      <c r="AQ5" s="42" t="s">
        <v>44</v>
      </c>
      <c r="AR5" s="42" t="s">
        <v>44</v>
      </c>
      <c r="AS5" s="42" t="s">
        <v>44</v>
      </c>
      <c r="AT5" s="42" t="s">
        <v>45</v>
      </c>
      <c r="AU5" s="44" t="s">
        <v>45</v>
      </c>
    </row>
    <row r="6" ht="14.25" customHeight="1">
      <c r="A6" s="45" t="s">
        <v>46</v>
      </c>
      <c r="B6" s="46" t="str">
        <f t="shared" ref="B6:B10" si="5">SUM('IK I:IK IV'!B6)</f>
        <v>#REF!</v>
      </c>
      <c r="C6" s="47" t="str">
        <f t="shared" ref="C6:C10" si="6">B6*8</f>
        <v>#REF!</v>
      </c>
      <c r="D6" s="44" t="str">
        <f t="shared" ref="D6:D10" si="7">SUM('IK I:IK IV'!D6)</f>
        <v>#REF!</v>
      </c>
      <c r="E6" s="44" t="str">
        <f t="shared" ref="E6:E10" si="8">D6*2.5</f>
        <v>#REF!</v>
      </c>
      <c r="F6" s="7" t="str">
        <f t="shared" ref="F6:F10" si="9">SUM(C6,E6)</f>
        <v>#REF!</v>
      </c>
      <c r="G6" s="47" t="str">
        <f t="shared" ref="G6:P6" si="1">SUM('IK I:IK IV'!G6)</f>
        <v>#REF!</v>
      </c>
      <c r="H6" s="47" t="str">
        <f t="shared" si="1"/>
        <v>#REF!</v>
      </c>
      <c r="I6" s="44" t="str">
        <f t="shared" si="1"/>
        <v>#REF!</v>
      </c>
      <c r="J6" s="44" t="str">
        <f t="shared" si="1"/>
        <v>#REF!</v>
      </c>
      <c r="K6" s="47" t="str">
        <f t="shared" si="1"/>
        <v>#REF!</v>
      </c>
      <c r="L6" s="47" t="str">
        <f t="shared" si="1"/>
        <v>#REF!</v>
      </c>
      <c r="M6" s="44" t="str">
        <f t="shared" si="1"/>
        <v>#REF!</v>
      </c>
      <c r="N6" s="44" t="str">
        <f t="shared" si="1"/>
        <v>#REF!</v>
      </c>
      <c r="O6" s="47" t="str">
        <f t="shared" si="1"/>
        <v>#REF!</v>
      </c>
      <c r="P6" s="47" t="str">
        <f t="shared" si="1"/>
        <v>#REF!</v>
      </c>
      <c r="Q6" s="9" t="str">
        <f t="shared" ref="Q6:Q10" si="11">SUM(H6,J6,L6,N6,P6)</f>
        <v>#REF!</v>
      </c>
      <c r="R6" s="44" t="str">
        <f t="shared" ref="R6:V6" si="2">SUM('IK I:IK IV'!R6)</f>
        <v>#REF!</v>
      </c>
      <c r="S6" s="44" t="str">
        <f t="shared" si="2"/>
        <v>#REF!</v>
      </c>
      <c r="T6" s="47" t="str">
        <f t="shared" si="2"/>
        <v>#REF!</v>
      </c>
      <c r="U6" s="47" t="str">
        <f t="shared" si="2"/>
        <v>#REF!</v>
      </c>
      <c r="V6" s="44" t="str">
        <f t="shared" si="2"/>
        <v>#REF!</v>
      </c>
      <c r="W6" s="9" t="str">
        <f t="shared" ref="W6:W10" si="13">SUM(S6,U6,V6)</f>
        <v>#REF!</v>
      </c>
      <c r="X6" s="47" t="str">
        <f t="shared" ref="X6:AA6" si="3">SUM('IK I:IK IV'!X6)</f>
        <v>#REF!</v>
      </c>
      <c r="Y6" s="47" t="str">
        <f t="shared" si="3"/>
        <v>#REF!</v>
      </c>
      <c r="Z6" s="44" t="str">
        <f t="shared" si="3"/>
        <v>#REF!</v>
      </c>
      <c r="AA6" s="47" t="str">
        <f t="shared" si="3"/>
        <v>#REF!</v>
      </c>
      <c r="AB6" s="9" t="str">
        <f t="shared" ref="AB6:AB10" si="15">SUM(Y6,Z6,AA6)</f>
        <v>#REF!</v>
      </c>
      <c r="AC6" s="54" t="str">
        <f t="shared" ref="AC6:AS6" si="4">SUM('IK I:IK IV'!AC6)</f>
        <v>#REF!</v>
      </c>
      <c r="AD6" s="47" t="str">
        <f t="shared" si="4"/>
        <v>#REF!</v>
      </c>
      <c r="AE6" s="24" t="str">
        <f t="shared" si="4"/>
        <v>#REF!</v>
      </c>
      <c r="AF6" s="44" t="str">
        <f t="shared" si="4"/>
        <v>#REF!</v>
      </c>
      <c r="AG6" s="47" t="str">
        <f t="shared" si="4"/>
        <v>#REF!</v>
      </c>
      <c r="AH6" s="44" t="str">
        <f t="shared" si="4"/>
        <v>#REF!</v>
      </c>
      <c r="AI6" s="47" t="str">
        <f t="shared" si="4"/>
        <v>#REF!</v>
      </c>
      <c r="AJ6" s="44" t="str">
        <f t="shared" si="4"/>
        <v>#REF!</v>
      </c>
      <c r="AK6" s="47" t="str">
        <f t="shared" si="4"/>
        <v>#REF!</v>
      </c>
      <c r="AL6" s="44" t="str">
        <f t="shared" si="4"/>
        <v>#REF!</v>
      </c>
      <c r="AM6" s="47" t="str">
        <f t="shared" si="4"/>
        <v>#REF!</v>
      </c>
      <c r="AN6" s="23" t="str">
        <f t="shared" si="4"/>
        <v>#REF!</v>
      </c>
      <c r="AO6" s="24" t="str">
        <f t="shared" si="4"/>
        <v>#REF!</v>
      </c>
      <c r="AP6" s="47" t="str">
        <f t="shared" si="4"/>
        <v>#REF!</v>
      </c>
      <c r="AQ6" s="44" t="str">
        <f t="shared" si="4"/>
        <v>#REF!</v>
      </c>
      <c r="AR6" s="47" t="str">
        <f t="shared" si="4"/>
        <v>#REF!</v>
      </c>
      <c r="AS6" s="44" t="str">
        <f t="shared" si="4"/>
        <v>#REF!</v>
      </c>
      <c r="AT6" s="14" t="str">
        <f t="shared" ref="AT6:AT10" si="17">SUM(AP6:AS6)</f>
        <v>#REF!</v>
      </c>
      <c r="AU6" s="44" t="str">
        <f t="shared" ref="AU6:AU10" si="18">SUM(F6,Q6,W6,AB6,AE6,AN6,AO6,AT6)</f>
        <v>#REF!</v>
      </c>
    </row>
    <row r="7" ht="14.25" customHeight="1">
      <c r="A7" s="45" t="s">
        <v>47</v>
      </c>
      <c r="B7" s="46" t="str">
        <f t="shared" si="5"/>
        <v>#REF!</v>
      </c>
      <c r="C7" s="47" t="str">
        <f t="shared" si="6"/>
        <v>#REF!</v>
      </c>
      <c r="D7" s="44" t="str">
        <f t="shared" si="7"/>
        <v>#REF!</v>
      </c>
      <c r="E7" s="44" t="str">
        <f t="shared" si="8"/>
        <v>#REF!</v>
      </c>
      <c r="F7" s="7" t="str">
        <f t="shared" si="9"/>
        <v>#REF!</v>
      </c>
      <c r="G7" s="47" t="str">
        <f t="shared" ref="G7:P7" si="10">SUM('IK I:IK IV'!G7)</f>
        <v>#REF!</v>
      </c>
      <c r="H7" s="47" t="str">
        <f t="shared" si="10"/>
        <v>#REF!</v>
      </c>
      <c r="I7" s="44" t="str">
        <f t="shared" si="10"/>
        <v>#REF!</v>
      </c>
      <c r="J7" s="44" t="str">
        <f t="shared" si="10"/>
        <v>#REF!</v>
      </c>
      <c r="K7" s="47" t="str">
        <f t="shared" si="10"/>
        <v>#REF!</v>
      </c>
      <c r="L7" s="47" t="str">
        <f t="shared" si="10"/>
        <v>#REF!</v>
      </c>
      <c r="M7" s="44" t="str">
        <f t="shared" si="10"/>
        <v>#REF!</v>
      </c>
      <c r="N7" s="44" t="str">
        <f t="shared" si="10"/>
        <v>#REF!</v>
      </c>
      <c r="O7" s="47" t="str">
        <f t="shared" si="10"/>
        <v>#REF!</v>
      </c>
      <c r="P7" s="47" t="str">
        <f t="shared" si="10"/>
        <v>#REF!</v>
      </c>
      <c r="Q7" s="9" t="str">
        <f t="shared" si="11"/>
        <v>#REF!</v>
      </c>
      <c r="R7" s="44" t="str">
        <f t="shared" ref="R7:V7" si="12">SUM('IK I:IK IV'!R7)</f>
        <v>#REF!</v>
      </c>
      <c r="S7" s="44" t="str">
        <f t="shared" si="12"/>
        <v>#REF!</v>
      </c>
      <c r="T7" s="47" t="str">
        <f t="shared" si="12"/>
        <v>#REF!</v>
      </c>
      <c r="U7" s="47" t="str">
        <f t="shared" si="12"/>
        <v>#REF!</v>
      </c>
      <c r="V7" s="44" t="str">
        <f t="shared" si="12"/>
        <v>#REF!</v>
      </c>
      <c r="W7" s="9" t="str">
        <f t="shared" si="13"/>
        <v>#REF!</v>
      </c>
      <c r="X7" s="47" t="str">
        <f t="shared" ref="X7:AA7" si="14">SUM('IK I:IK IV'!X7)</f>
        <v>#REF!</v>
      </c>
      <c r="Y7" s="47" t="str">
        <f t="shared" si="14"/>
        <v>#REF!</v>
      </c>
      <c r="Z7" s="44" t="str">
        <f t="shared" si="14"/>
        <v>#REF!</v>
      </c>
      <c r="AA7" s="47" t="str">
        <f t="shared" si="14"/>
        <v>#REF!</v>
      </c>
      <c r="AB7" s="9" t="str">
        <f t="shared" si="15"/>
        <v>#REF!</v>
      </c>
      <c r="AC7" s="54" t="str">
        <f t="shared" ref="AC7:AS7" si="16">SUM('IK I:IK IV'!AC7)</f>
        <v>#REF!</v>
      </c>
      <c r="AD7" s="47" t="str">
        <f t="shared" si="16"/>
        <v>#REF!</v>
      </c>
      <c r="AE7" s="24" t="str">
        <f t="shared" si="16"/>
        <v>#REF!</v>
      </c>
      <c r="AF7" s="44" t="str">
        <f t="shared" si="16"/>
        <v>#REF!</v>
      </c>
      <c r="AG7" s="47" t="str">
        <f t="shared" si="16"/>
        <v>#REF!</v>
      </c>
      <c r="AH7" s="44" t="str">
        <f t="shared" si="16"/>
        <v>#REF!</v>
      </c>
      <c r="AI7" s="47" t="str">
        <f t="shared" si="16"/>
        <v>#REF!</v>
      </c>
      <c r="AJ7" s="44" t="str">
        <f t="shared" si="16"/>
        <v>#REF!</v>
      </c>
      <c r="AK7" s="47" t="str">
        <f t="shared" si="16"/>
        <v>#REF!</v>
      </c>
      <c r="AL7" s="44" t="str">
        <f t="shared" si="16"/>
        <v>#REF!</v>
      </c>
      <c r="AM7" s="47" t="str">
        <f t="shared" si="16"/>
        <v>#REF!</v>
      </c>
      <c r="AN7" s="23" t="str">
        <f t="shared" si="16"/>
        <v>#REF!</v>
      </c>
      <c r="AO7" s="24" t="str">
        <f t="shared" si="16"/>
        <v>#REF!</v>
      </c>
      <c r="AP7" s="47" t="str">
        <f t="shared" si="16"/>
        <v>#REF!</v>
      </c>
      <c r="AQ7" s="44" t="str">
        <f t="shared" si="16"/>
        <v>#REF!</v>
      </c>
      <c r="AR7" s="47" t="str">
        <f t="shared" si="16"/>
        <v>#REF!</v>
      </c>
      <c r="AS7" s="44" t="str">
        <f t="shared" si="16"/>
        <v>#REF!</v>
      </c>
      <c r="AT7" s="14" t="str">
        <f t="shared" si="17"/>
        <v>#REF!</v>
      </c>
      <c r="AU7" s="44" t="str">
        <f t="shared" si="18"/>
        <v>#REF!</v>
      </c>
    </row>
    <row r="8" ht="14.25" customHeight="1">
      <c r="A8" s="45" t="s">
        <v>48</v>
      </c>
      <c r="B8" s="46" t="str">
        <f t="shared" si="5"/>
        <v>#REF!</v>
      </c>
      <c r="C8" s="47" t="str">
        <f t="shared" si="6"/>
        <v>#REF!</v>
      </c>
      <c r="D8" s="44" t="str">
        <f t="shared" si="7"/>
        <v>#REF!</v>
      </c>
      <c r="E8" s="44" t="str">
        <f t="shared" si="8"/>
        <v>#REF!</v>
      </c>
      <c r="F8" s="7" t="str">
        <f t="shared" si="9"/>
        <v>#REF!</v>
      </c>
      <c r="G8" s="47" t="str">
        <f t="shared" ref="G8:P8" si="19">SUM('IK I:IK IV'!G8)</f>
        <v>#REF!</v>
      </c>
      <c r="H8" s="47" t="str">
        <f t="shared" si="19"/>
        <v>#REF!</v>
      </c>
      <c r="I8" s="44" t="str">
        <f t="shared" si="19"/>
        <v>#REF!</v>
      </c>
      <c r="J8" s="44" t="str">
        <f t="shared" si="19"/>
        <v>#REF!</v>
      </c>
      <c r="K8" s="47" t="str">
        <f t="shared" si="19"/>
        <v>#REF!</v>
      </c>
      <c r="L8" s="47" t="str">
        <f t="shared" si="19"/>
        <v>#REF!</v>
      </c>
      <c r="M8" s="44" t="str">
        <f t="shared" si="19"/>
        <v>#REF!</v>
      </c>
      <c r="N8" s="44" t="str">
        <f t="shared" si="19"/>
        <v>#REF!</v>
      </c>
      <c r="O8" s="47" t="str">
        <f t="shared" si="19"/>
        <v>#REF!</v>
      </c>
      <c r="P8" s="47" t="str">
        <f t="shared" si="19"/>
        <v>#REF!</v>
      </c>
      <c r="Q8" s="9" t="str">
        <f t="shared" si="11"/>
        <v>#REF!</v>
      </c>
      <c r="R8" s="44" t="str">
        <f t="shared" ref="R8:V8" si="20">SUM('IK I:IK IV'!R8)</f>
        <v>#REF!</v>
      </c>
      <c r="S8" s="44" t="str">
        <f t="shared" si="20"/>
        <v>#REF!</v>
      </c>
      <c r="T8" s="47" t="str">
        <f t="shared" si="20"/>
        <v>#REF!</v>
      </c>
      <c r="U8" s="47" t="str">
        <f t="shared" si="20"/>
        <v>#REF!</v>
      </c>
      <c r="V8" s="44" t="str">
        <f t="shared" si="20"/>
        <v>#REF!</v>
      </c>
      <c r="W8" s="9" t="str">
        <f t="shared" si="13"/>
        <v>#REF!</v>
      </c>
      <c r="X8" s="47" t="str">
        <f t="shared" ref="X8:AA8" si="21">SUM('IK I:IK IV'!X8)</f>
        <v>#REF!</v>
      </c>
      <c r="Y8" s="47" t="str">
        <f t="shared" si="21"/>
        <v>#REF!</v>
      </c>
      <c r="Z8" s="44" t="str">
        <f t="shared" si="21"/>
        <v>#REF!</v>
      </c>
      <c r="AA8" s="47" t="str">
        <f t="shared" si="21"/>
        <v>#REF!</v>
      </c>
      <c r="AB8" s="9" t="str">
        <f t="shared" si="15"/>
        <v>#REF!</v>
      </c>
      <c r="AC8" s="54" t="str">
        <f t="shared" ref="AC8:AS8" si="22">SUM('IK I:IK IV'!AC8)</f>
        <v>#REF!</v>
      </c>
      <c r="AD8" s="47" t="str">
        <f t="shared" si="22"/>
        <v>#REF!</v>
      </c>
      <c r="AE8" s="24" t="str">
        <f t="shared" si="22"/>
        <v>#REF!</v>
      </c>
      <c r="AF8" s="44" t="str">
        <f t="shared" si="22"/>
        <v>#REF!</v>
      </c>
      <c r="AG8" s="47" t="str">
        <f t="shared" si="22"/>
        <v>#REF!</v>
      </c>
      <c r="AH8" s="44" t="str">
        <f t="shared" si="22"/>
        <v>#REF!</v>
      </c>
      <c r="AI8" s="47" t="str">
        <f t="shared" si="22"/>
        <v>#REF!</v>
      </c>
      <c r="AJ8" s="44" t="str">
        <f t="shared" si="22"/>
        <v>#REF!</v>
      </c>
      <c r="AK8" s="47" t="str">
        <f t="shared" si="22"/>
        <v>#REF!</v>
      </c>
      <c r="AL8" s="44" t="str">
        <f t="shared" si="22"/>
        <v>#REF!</v>
      </c>
      <c r="AM8" s="47" t="str">
        <f t="shared" si="22"/>
        <v>#REF!</v>
      </c>
      <c r="AN8" s="23" t="str">
        <f t="shared" si="22"/>
        <v>#REF!</v>
      </c>
      <c r="AO8" s="24" t="str">
        <f t="shared" si="22"/>
        <v>#REF!</v>
      </c>
      <c r="AP8" s="47" t="str">
        <f t="shared" si="22"/>
        <v>#REF!</v>
      </c>
      <c r="AQ8" s="44" t="str">
        <f t="shared" si="22"/>
        <v>#REF!</v>
      </c>
      <c r="AR8" s="47" t="str">
        <f t="shared" si="22"/>
        <v>#REF!</v>
      </c>
      <c r="AS8" s="44" t="str">
        <f t="shared" si="22"/>
        <v>#REF!</v>
      </c>
      <c r="AT8" s="14" t="str">
        <f t="shared" si="17"/>
        <v>#REF!</v>
      </c>
      <c r="AU8" s="44" t="str">
        <f t="shared" si="18"/>
        <v>#REF!</v>
      </c>
    </row>
    <row r="9" ht="14.25" customHeight="1">
      <c r="A9" s="45" t="s">
        <v>49</v>
      </c>
      <c r="B9" s="46" t="str">
        <f t="shared" si="5"/>
        <v>#REF!</v>
      </c>
      <c r="C9" s="47" t="str">
        <f t="shared" si="6"/>
        <v>#REF!</v>
      </c>
      <c r="D9" s="44" t="str">
        <f t="shared" si="7"/>
        <v>#REF!</v>
      </c>
      <c r="E9" s="44" t="str">
        <f t="shared" si="8"/>
        <v>#REF!</v>
      </c>
      <c r="F9" s="7" t="str">
        <f t="shared" si="9"/>
        <v>#REF!</v>
      </c>
      <c r="G9" s="47" t="str">
        <f t="shared" ref="G9:P9" si="23">SUM('IK I:IK IV'!G9)</f>
        <v>#REF!</v>
      </c>
      <c r="H9" s="47" t="str">
        <f t="shared" si="23"/>
        <v>#REF!</v>
      </c>
      <c r="I9" s="44" t="str">
        <f t="shared" si="23"/>
        <v>#REF!</v>
      </c>
      <c r="J9" s="44" t="str">
        <f t="shared" si="23"/>
        <v>#REF!</v>
      </c>
      <c r="K9" s="47" t="str">
        <f t="shared" si="23"/>
        <v>#REF!</v>
      </c>
      <c r="L9" s="47" t="str">
        <f t="shared" si="23"/>
        <v>#REF!</v>
      </c>
      <c r="M9" s="44" t="str">
        <f t="shared" si="23"/>
        <v>#REF!</v>
      </c>
      <c r="N9" s="44" t="str">
        <f t="shared" si="23"/>
        <v>#REF!</v>
      </c>
      <c r="O9" s="47" t="str">
        <f t="shared" si="23"/>
        <v>#REF!</v>
      </c>
      <c r="P9" s="47" t="str">
        <f t="shared" si="23"/>
        <v>#REF!</v>
      </c>
      <c r="Q9" s="9" t="str">
        <f t="shared" si="11"/>
        <v>#REF!</v>
      </c>
      <c r="R9" s="44" t="str">
        <f t="shared" ref="R9:V9" si="24">SUM('IK I:IK IV'!R9)</f>
        <v>#REF!</v>
      </c>
      <c r="S9" s="44" t="str">
        <f t="shared" si="24"/>
        <v>#REF!</v>
      </c>
      <c r="T9" s="47" t="str">
        <f t="shared" si="24"/>
        <v>#REF!</v>
      </c>
      <c r="U9" s="47" t="str">
        <f t="shared" si="24"/>
        <v>#REF!</v>
      </c>
      <c r="V9" s="44" t="str">
        <f t="shared" si="24"/>
        <v>#REF!</v>
      </c>
      <c r="W9" s="9" t="str">
        <f t="shared" si="13"/>
        <v>#REF!</v>
      </c>
      <c r="X9" s="47" t="str">
        <f t="shared" ref="X9:AA9" si="25">SUM('IK I:IK IV'!X9)</f>
        <v>#REF!</v>
      </c>
      <c r="Y9" s="47" t="str">
        <f t="shared" si="25"/>
        <v>#REF!</v>
      </c>
      <c r="Z9" s="44" t="str">
        <f t="shared" si="25"/>
        <v>#REF!</v>
      </c>
      <c r="AA9" s="47" t="str">
        <f t="shared" si="25"/>
        <v>#REF!</v>
      </c>
      <c r="AB9" s="9" t="str">
        <f t="shared" si="15"/>
        <v>#REF!</v>
      </c>
      <c r="AC9" s="54" t="str">
        <f t="shared" ref="AC9:AS9" si="26">SUM('IK I:IK IV'!AC9)</f>
        <v>#REF!</v>
      </c>
      <c r="AD9" s="47" t="str">
        <f t="shared" si="26"/>
        <v>#REF!</v>
      </c>
      <c r="AE9" s="24" t="str">
        <f t="shared" si="26"/>
        <v>#REF!</v>
      </c>
      <c r="AF9" s="44" t="str">
        <f t="shared" si="26"/>
        <v>#REF!</v>
      </c>
      <c r="AG9" s="47" t="str">
        <f t="shared" si="26"/>
        <v>#REF!</v>
      </c>
      <c r="AH9" s="44" t="str">
        <f t="shared" si="26"/>
        <v>#REF!</v>
      </c>
      <c r="AI9" s="47" t="str">
        <f t="shared" si="26"/>
        <v>#REF!</v>
      </c>
      <c r="AJ9" s="44" t="str">
        <f t="shared" si="26"/>
        <v>#REF!</v>
      </c>
      <c r="AK9" s="47" t="str">
        <f t="shared" si="26"/>
        <v>#REF!</v>
      </c>
      <c r="AL9" s="44" t="str">
        <f t="shared" si="26"/>
        <v>#REF!</v>
      </c>
      <c r="AM9" s="47" t="str">
        <f t="shared" si="26"/>
        <v>#REF!</v>
      </c>
      <c r="AN9" s="23" t="str">
        <f t="shared" si="26"/>
        <v>#REF!</v>
      </c>
      <c r="AO9" s="24" t="str">
        <f t="shared" si="26"/>
        <v>#REF!</v>
      </c>
      <c r="AP9" s="47" t="str">
        <f t="shared" si="26"/>
        <v>#REF!</v>
      </c>
      <c r="AQ9" s="44" t="str">
        <f t="shared" si="26"/>
        <v>#REF!</v>
      </c>
      <c r="AR9" s="47" t="str">
        <f t="shared" si="26"/>
        <v>#REF!</v>
      </c>
      <c r="AS9" s="44" t="str">
        <f t="shared" si="26"/>
        <v>#REF!</v>
      </c>
      <c r="AT9" s="14" t="str">
        <f t="shared" si="17"/>
        <v>#REF!</v>
      </c>
      <c r="AU9" s="44" t="str">
        <f t="shared" si="18"/>
        <v>#REF!</v>
      </c>
    </row>
    <row r="10" ht="14.25" customHeight="1">
      <c r="A10" s="45" t="s">
        <v>50</v>
      </c>
      <c r="B10" s="46" t="str">
        <f t="shared" si="5"/>
        <v>#REF!</v>
      </c>
      <c r="C10" s="47" t="str">
        <f t="shared" si="6"/>
        <v>#REF!</v>
      </c>
      <c r="D10" s="44" t="str">
        <f t="shared" si="7"/>
        <v>#REF!</v>
      </c>
      <c r="E10" s="44" t="str">
        <f t="shared" si="8"/>
        <v>#REF!</v>
      </c>
      <c r="F10" s="7" t="str">
        <f t="shared" si="9"/>
        <v>#REF!</v>
      </c>
      <c r="G10" s="47" t="str">
        <f t="shared" ref="G10:P10" si="27">SUM('IK I:IK IV'!G10)</f>
        <v>#REF!</v>
      </c>
      <c r="H10" s="47" t="str">
        <f t="shared" si="27"/>
        <v>#REF!</v>
      </c>
      <c r="I10" s="44" t="str">
        <f t="shared" si="27"/>
        <v>#REF!</v>
      </c>
      <c r="J10" s="44" t="str">
        <f t="shared" si="27"/>
        <v>#REF!</v>
      </c>
      <c r="K10" s="47" t="str">
        <f t="shared" si="27"/>
        <v>#REF!</v>
      </c>
      <c r="L10" s="47" t="str">
        <f t="shared" si="27"/>
        <v>#REF!</v>
      </c>
      <c r="M10" s="44" t="str">
        <f t="shared" si="27"/>
        <v>#REF!</v>
      </c>
      <c r="N10" s="44" t="str">
        <f t="shared" si="27"/>
        <v>#REF!</v>
      </c>
      <c r="O10" s="47" t="str">
        <f t="shared" si="27"/>
        <v>#REF!</v>
      </c>
      <c r="P10" s="47" t="str">
        <f t="shared" si="27"/>
        <v>#REF!</v>
      </c>
      <c r="Q10" s="9" t="str">
        <f t="shared" si="11"/>
        <v>#REF!</v>
      </c>
      <c r="R10" s="44" t="str">
        <f t="shared" ref="R10:V10" si="28">SUM('IK I:IK IV'!R10)</f>
        <v>#REF!</v>
      </c>
      <c r="S10" s="44" t="str">
        <f t="shared" si="28"/>
        <v>#REF!</v>
      </c>
      <c r="T10" s="47" t="str">
        <f t="shared" si="28"/>
        <v>#REF!</v>
      </c>
      <c r="U10" s="47" t="str">
        <f t="shared" si="28"/>
        <v>#REF!</v>
      </c>
      <c r="V10" s="44" t="str">
        <f t="shared" si="28"/>
        <v>#REF!</v>
      </c>
      <c r="W10" s="9" t="str">
        <f t="shared" si="13"/>
        <v>#REF!</v>
      </c>
      <c r="X10" s="47" t="str">
        <f t="shared" ref="X10:AA10" si="29">SUM('IK I:IK IV'!X10)</f>
        <v>#REF!</v>
      </c>
      <c r="Y10" s="47" t="str">
        <f t="shared" si="29"/>
        <v>#REF!</v>
      </c>
      <c r="Z10" s="44" t="str">
        <f t="shared" si="29"/>
        <v>#REF!</v>
      </c>
      <c r="AA10" s="47" t="str">
        <f t="shared" si="29"/>
        <v>#REF!</v>
      </c>
      <c r="AB10" s="9" t="str">
        <f t="shared" si="15"/>
        <v>#REF!</v>
      </c>
      <c r="AC10" s="54" t="str">
        <f t="shared" ref="AC10:AS10" si="30">SUM('IK I:IK IV'!AC10)</f>
        <v>#REF!</v>
      </c>
      <c r="AD10" s="47" t="str">
        <f t="shared" si="30"/>
        <v>#REF!</v>
      </c>
      <c r="AE10" s="24" t="str">
        <f t="shared" si="30"/>
        <v>#REF!</v>
      </c>
      <c r="AF10" s="44" t="str">
        <f t="shared" si="30"/>
        <v>#REF!</v>
      </c>
      <c r="AG10" s="47" t="str">
        <f t="shared" si="30"/>
        <v>#REF!</v>
      </c>
      <c r="AH10" s="44" t="str">
        <f t="shared" si="30"/>
        <v>#REF!</v>
      </c>
      <c r="AI10" s="47" t="str">
        <f t="shared" si="30"/>
        <v>#REF!</v>
      </c>
      <c r="AJ10" s="44" t="str">
        <f t="shared" si="30"/>
        <v>#REF!</v>
      </c>
      <c r="AK10" s="47" t="str">
        <f t="shared" si="30"/>
        <v>#REF!</v>
      </c>
      <c r="AL10" s="44" t="str">
        <f t="shared" si="30"/>
        <v>#REF!</v>
      </c>
      <c r="AM10" s="47" t="str">
        <f t="shared" si="30"/>
        <v>#REF!</v>
      </c>
      <c r="AN10" s="23" t="str">
        <f t="shared" si="30"/>
        <v>#REF!</v>
      </c>
      <c r="AO10" s="24" t="str">
        <f t="shared" si="30"/>
        <v>#REF!</v>
      </c>
      <c r="AP10" s="47" t="str">
        <f t="shared" si="30"/>
        <v>#REF!</v>
      </c>
      <c r="AQ10" s="44" t="str">
        <f t="shared" si="30"/>
        <v>#REF!</v>
      </c>
      <c r="AR10" s="47" t="str">
        <f t="shared" si="30"/>
        <v>#REF!</v>
      </c>
      <c r="AS10" s="44" t="str">
        <f t="shared" si="30"/>
        <v>#REF!</v>
      </c>
      <c r="AT10" s="14" t="str">
        <f t="shared" si="17"/>
        <v>#REF!</v>
      </c>
      <c r="AU10" s="44" t="str">
        <f t="shared" si="18"/>
        <v>#REF!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G2:P3"/>
    <mergeCell ref="R2:V3"/>
    <mergeCell ref="X2:AA3"/>
    <mergeCell ref="AC2:AO2"/>
    <mergeCell ref="AP2:AS3"/>
    <mergeCell ref="AC3:AD3"/>
    <mergeCell ref="AF3:AM3"/>
    <mergeCell ref="O4:P4"/>
    <mergeCell ref="R4:S4"/>
    <mergeCell ref="T4:U4"/>
    <mergeCell ref="X4:Y4"/>
    <mergeCell ref="B2:E3"/>
    <mergeCell ref="B4:C4"/>
    <mergeCell ref="D4:E4"/>
    <mergeCell ref="G4:H4"/>
    <mergeCell ref="I4:J4"/>
    <mergeCell ref="K4:L4"/>
    <mergeCell ref="M4:N4"/>
  </mergeCells>
  <conditionalFormatting sqref="B6:B10">
    <cfRule type="cellIs" dxfId="0" priority="1" operator="lessThan">
      <formula>3</formula>
    </cfRule>
  </conditionalFormatting>
  <conditionalFormatting sqref="D6:D10">
    <cfRule type="cellIs" dxfId="0" priority="2" operator="lessThan">
      <formula>4</formula>
    </cfRule>
  </conditionalFormatting>
  <conditionalFormatting sqref="F6:F10">
    <cfRule type="cellIs" dxfId="0" priority="3" operator="lessThan">
      <formula>32</formula>
    </cfRule>
  </conditionalFormatting>
  <conditionalFormatting sqref="G6:G10">
    <cfRule type="cellIs" dxfId="0" priority="4" operator="lessThan">
      <formula>6</formula>
    </cfRule>
  </conditionalFormatting>
  <conditionalFormatting sqref="H6:H10">
    <cfRule type="cellIs" dxfId="0" priority="5" operator="lessThan">
      <formula>12</formula>
    </cfRule>
  </conditionalFormatting>
  <conditionalFormatting sqref="I6:I10">
    <cfRule type="cellIs" dxfId="0" priority="6" operator="lessThan">
      <formula>3</formula>
    </cfRule>
  </conditionalFormatting>
  <conditionalFormatting sqref="J6:J10">
    <cfRule type="cellIs" dxfId="0" priority="7" operator="lessThan">
      <formula>6</formula>
    </cfRule>
  </conditionalFormatting>
  <conditionalFormatting sqref="K6:L10">
    <cfRule type="cellIs" dxfId="0" priority="8" operator="lessThan">
      <formula>2</formula>
    </cfRule>
  </conditionalFormatting>
  <conditionalFormatting sqref="M6:M10">
    <cfRule type="cellIs" dxfId="0" priority="9" operator="lessThan">
      <formula>4</formula>
    </cfRule>
  </conditionalFormatting>
  <conditionalFormatting sqref="N6:N10">
    <cfRule type="cellIs" dxfId="0" priority="10" operator="lessThan">
      <formula>8</formula>
    </cfRule>
  </conditionalFormatting>
  <conditionalFormatting sqref="O6:O10">
    <cfRule type="cellIs" dxfId="0" priority="11" operator="lessThan">
      <formula>4</formula>
    </cfRule>
  </conditionalFormatting>
  <conditionalFormatting sqref="P6:P10">
    <cfRule type="cellIs" dxfId="0" priority="12" operator="lessThan">
      <formula>6</formula>
    </cfRule>
  </conditionalFormatting>
  <conditionalFormatting sqref="Q6:Q10">
    <cfRule type="cellIs" dxfId="0" priority="13" operator="lessThan">
      <formula>55</formula>
    </cfRule>
  </conditionalFormatting>
  <conditionalFormatting sqref="S6:S10">
    <cfRule type="cellIs" dxfId="0" priority="14" operator="lessThan">
      <formula>9</formula>
    </cfRule>
  </conditionalFormatting>
  <conditionalFormatting sqref="U6:U10">
    <cfRule type="cellIs" dxfId="0" priority="15" operator="lessThan">
      <formula>6</formula>
    </cfRule>
  </conditionalFormatting>
  <conditionalFormatting sqref="W6:W10">
    <cfRule type="cellIs" dxfId="0" priority="16" operator="lessThan">
      <formula>20</formula>
    </cfRule>
  </conditionalFormatting>
  <conditionalFormatting sqref="X6:X10">
    <cfRule type="cellIs" dxfId="0" priority="17" operator="lessThan">
      <formula>2</formula>
    </cfRule>
  </conditionalFormatting>
  <conditionalFormatting sqref="AB6:AB10">
    <cfRule type="cellIs" dxfId="0" priority="18" operator="lessThan">
      <formula>8</formula>
    </cfRule>
  </conditionalFormatting>
  <conditionalFormatting sqref="AE6:AE10">
    <cfRule type="cellIs" dxfId="0" priority="19" operator="lessThan">
      <formula>51</formula>
    </cfRule>
  </conditionalFormatting>
  <conditionalFormatting sqref="AN6:AN10">
    <cfRule type="cellIs" dxfId="0" priority="20" operator="lessThan">
      <formula>51</formula>
    </cfRule>
  </conditionalFormatting>
  <conditionalFormatting sqref="AO6:AO10">
    <cfRule type="cellIs" dxfId="0" priority="21" operator="lessThan">
      <formula>14</formula>
    </cfRule>
  </conditionalFormatting>
  <conditionalFormatting sqref="AU6:AU10">
    <cfRule type="cellIs" dxfId="0" priority="22" operator="lessThan">
      <formula>264</formula>
    </cfRule>
  </conditionalFormatting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2025-02-10T12:56:03Z</dcterms:created>
  <dc:creator>Thorsten Blauhut</dc:creator>
</cp:coreProperties>
</file>